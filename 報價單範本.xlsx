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chenpinyu/Downloads/"/>
    </mc:Choice>
  </mc:AlternateContent>
  <xr:revisionPtr revIDLastSave="0" documentId="13_ncr:1_{6F377BAB-0DF0-104E-B0E9-0F357B72F830}" xr6:coauthVersionLast="47" xr6:coauthVersionMax="47" xr10:uidLastSave="{00000000-0000-0000-0000-000000000000}"/>
  <bookViews>
    <workbookView xWindow="2320" yWindow="760" windowWidth="22140" windowHeight="16420" tabRatio="500" xr2:uid="{00000000-000D-0000-FFFF-FFFF00000000}"/>
  </bookViews>
  <sheets>
    <sheet name="2026報價" sheetId="30" r:id="rId1"/>
    <sheet name="1060119" sheetId="3" state="hidden" r:id="rId2"/>
    <sheet name="計算" sheetId="5" state="hidden" r:id="rId3"/>
    <sheet name="決標後主項" sheetId="7" state="hidden" r:id="rId4"/>
    <sheet name="決標後細項" sheetId="6" state="hidden" r:id="rId5"/>
    <sheet name="驗證" sheetId="8" state="hidden" r:id="rId6"/>
    <sheet name="EIP參考" sheetId="4" state="hidden" r:id="rId7"/>
  </sheets>
  <definedNames>
    <definedName name="_xlnm.Print_Area" localSheetId="0">'2026報價'!$A$1:$G$30</definedName>
  </definedNames>
  <calcPr calcId="191029" fullCalcOnLoad="1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8" i="30" l="1"/>
  <c r="C20" i="30" s="1"/>
  <c r="C27" i="8" l="1"/>
  <c r="C17" i="8"/>
  <c r="C4" i="8"/>
  <c r="J4" i="6"/>
  <c r="J5" i="6"/>
  <c r="J6" i="6"/>
  <c r="J7" i="6"/>
  <c r="J8" i="6"/>
  <c r="J9" i="6"/>
  <c r="J10" i="6"/>
  <c r="J17" i="6"/>
  <c r="J23" i="6"/>
  <c r="J25" i="6"/>
  <c r="J30" i="6"/>
  <c r="J31" i="6"/>
  <c r="J32" i="6"/>
  <c r="J33" i="6"/>
  <c r="J34" i="6"/>
  <c r="J35" i="6"/>
  <c r="O2" i="6"/>
  <c r="N2" i="6"/>
  <c r="M2" i="6"/>
  <c r="G12" i="7"/>
  <c r="G19" i="7"/>
  <c r="G28" i="7"/>
  <c r="XFD35" i="7"/>
  <c r="D34" i="7"/>
  <c r="D16" i="5"/>
  <c r="J16" i="5" s="1"/>
  <c r="F24" i="5"/>
  <c r="P26" i="5"/>
  <c r="H22" i="5"/>
  <c r="J22" i="5" s="1"/>
  <c r="J13" i="5"/>
  <c r="F8" i="5"/>
  <c r="J8" i="5"/>
  <c r="F9" i="5"/>
  <c r="J9" i="5" s="1"/>
  <c r="J10" i="5"/>
  <c r="J11" i="5"/>
  <c r="J12" i="5"/>
  <c r="H21" i="5"/>
  <c r="J21" i="5" s="1"/>
  <c r="H23" i="5"/>
  <c r="J23" i="5" s="1"/>
  <c r="H25" i="5"/>
  <c r="J25" i="5"/>
  <c r="J7" i="5"/>
  <c r="J17" i="5"/>
  <c r="D19" i="5"/>
  <c r="F19" i="5"/>
  <c r="H19" i="5"/>
  <c r="D20" i="5"/>
  <c r="F20" i="5"/>
  <c r="H20" i="5"/>
  <c r="D24" i="5"/>
  <c r="H24" i="5"/>
  <c r="D34" i="3"/>
  <c r="XFD34" i="3"/>
  <c r="XFD35" i="3"/>
  <c r="M10" i="6" l="1"/>
  <c r="J20" i="5"/>
  <c r="M24" i="6"/>
  <c r="J19" i="5"/>
  <c r="J24" i="5"/>
  <c r="G34" i="7"/>
  <c r="XFD34" i="7" s="1"/>
  <c r="J26" i="5"/>
  <c r="J39" i="6"/>
  <c r="M39" i="6" l="1"/>
</calcChain>
</file>

<file path=xl/sharedStrings.xml><?xml version="1.0" encoding="utf-8"?>
<sst xmlns="http://schemas.openxmlformats.org/spreadsheetml/2006/main" count="308" uniqueCount="177">
  <si>
    <t>項次</t>
    <phoneticPr fontId="5" type="noConversion"/>
  </si>
  <si>
    <t>品項</t>
    <phoneticPr fontId="5" type="noConversion"/>
  </si>
  <si>
    <t>數量</t>
    <phoneticPr fontId="5" type="noConversion"/>
  </si>
  <si>
    <t>單價</t>
    <phoneticPr fontId="5" type="noConversion"/>
  </si>
  <si>
    <t>一、</t>
    <phoneticPr fontId="5" type="noConversion"/>
  </si>
  <si>
    <t>1式</t>
    <phoneticPr fontId="5" type="noConversion"/>
  </si>
  <si>
    <t>系統功能運作維運（系統異常排除、程式錯誤修正）</t>
    <phoneticPr fontId="5" type="noConversion"/>
  </si>
  <si>
    <t>總價(含稅)：</t>
    <phoneticPr fontId="5" type="noConversion"/>
  </si>
  <si>
    <t>教育訓練</t>
    <phoneticPr fontId="5" type="noConversion"/>
  </si>
  <si>
    <t>系統維運</t>
    <phoneticPr fontId="5" type="noConversion"/>
  </si>
  <si>
    <t>1式</t>
  </si>
  <si>
    <t>1式</t>
    <phoneticPr fontId="5" type="noConversion"/>
  </si>
  <si>
    <r>
      <rPr>
        <b/>
        <sz val="12"/>
        <rFont val="標楷體"/>
        <family val="3"/>
        <charset val="136"/>
      </rPr>
      <t>二</t>
    </r>
    <r>
      <rPr>
        <b/>
        <sz val="12"/>
        <rFont val="標楷體"/>
        <family val="3"/>
        <charset val="136"/>
      </rPr>
      <t>、</t>
    </r>
    <phoneticPr fontId="5" type="noConversion"/>
  </si>
  <si>
    <t>系統及資料維運作業（文化部及所屬17機關）</t>
    <phoneticPr fontId="5" type="noConversion"/>
  </si>
  <si>
    <t>4場</t>
    <phoneticPr fontId="5" type="noConversion"/>
  </si>
  <si>
    <t>獎補助系統管理功能改版擴充</t>
    <phoneticPr fontId="5" type="noConversion"/>
  </si>
  <si>
    <t>前臺</t>
    <phoneticPr fontId="5" type="noConversion"/>
  </si>
  <si>
    <t>後台</t>
    <phoneticPr fontId="5" type="noConversion"/>
  </si>
  <si>
    <t>功能分類</t>
    <phoneticPr fontId="5" type="noConversion"/>
  </si>
  <si>
    <t>PRE-ORDER &amp; Quotation</t>
  </si>
  <si>
    <t>致：</t>
  </si>
  <si>
    <t>文化部</t>
    <phoneticPr fontId="5" type="noConversion"/>
  </si>
  <si>
    <t>估價編號：</t>
  </si>
  <si>
    <t>單位：</t>
  </si>
  <si>
    <t>新台幣</t>
  </si>
  <si>
    <t>有效期限：</t>
  </si>
  <si>
    <r>
      <t>30</t>
    </r>
    <r>
      <rPr>
        <sz val="12"/>
        <rFont val="標楷體"/>
        <family val="3"/>
        <charset val="136"/>
      </rPr>
      <t>天</t>
    </r>
    <phoneticPr fontId="5" type="noConversion"/>
  </si>
  <si>
    <t>前臺網站改版建置</t>
    <phoneticPr fontId="5" type="noConversion"/>
  </si>
  <si>
    <t>使用者界面改版設計</t>
    <phoneticPr fontId="5" type="noConversion"/>
  </si>
  <si>
    <t>RWD響應式網站設計( 首頁、內容頁、會員管理等)</t>
    <phoneticPr fontId="5" type="noConversion"/>
  </si>
  <si>
    <t>線上申請/報名功能擴充</t>
    <phoneticPr fontId="5" type="noConversion"/>
  </si>
  <si>
    <t>獎補助訊息主動通知 - 帳號密碼管理功能功能調整</t>
    <phoneticPr fontId="5" type="noConversion"/>
  </si>
  <si>
    <t>要點分類</t>
    <phoneticPr fontId="5" type="noConversion"/>
  </si>
  <si>
    <t>會員功能擴充</t>
    <phoneticPr fontId="5" type="noConversion"/>
  </si>
  <si>
    <t>程式版本維護管理</t>
    <phoneticPr fontId="5" type="noConversion"/>
  </si>
  <si>
    <t>民眾互動及重要資訊呈現   
-顯示報名中要點
-評審委員名單
-相關後端上架資訊
-獎補助申請之教學流程</t>
    <phoneticPr fontId="5" type="noConversion"/>
  </si>
  <si>
    <t>獎補助要點表單維運、新增、調整與諮詢</t>
    <phoneticPr fontId="5" type="noConversion"/>
  </si>
  <si>
    <t>線上報名/申請機制維護</t>
    <phoneticPr fontId="5" type="noConversion"/>
  </si>
  <si>
    <t>內、外部介接維護</t>
    <phoneticPr fontId="5" type="noConversion"/>
  </si>
  <si>
    <t>推廣、輔導各機關辦理線上報名</t>
    <phoneticPr fontId="5" type="noConversion"/>
  </si>
  <si>
    <t>客服輔導
-客戶問題處理與回覆
-客戶問題記錄與整理
-會員資料整併更新
-程式版本更新說明</t>
    <phoneticPr fontId="5" type="noConversion"/>
  </si>
  <si>
    <t xml:space="preserve">資訊透明
-審計查帳管理    
-案件審核管理    
-名單發佈機制  </t>
    <phoneticPr fontId="5" type="noConversion"/>
  </si>
  <si>
    <t xml:space="preserve">系統管理架構調整及功能擴充  </t>
    <phoneticPr fontId="5" type="noConversion"/>
  </si>
  <si>
    <t>系統架構調整 
-欄位調整、欄位檢核。依受理日期控管各機關資料,產生報表(要點生命週期的時間來查核)
-前臺資訊呈現與連結。
-要點功能調整（類別、表單、範本等）
-前臺資訊上架管理</t>
    <phoneticPr fontId="5" type="noConversion"/>
  </si>
  <si>
    <t>案件審查管理機制</t>
    <phoneticPr fontId="5" type="noConversion"/>
  </si>
  <si>
    <t xml:space="preserve">年度案件鎖定、變更及刪除與統計功能(特定使用者變更）  </t>
    <phoneticPr fontId="5" type="noConversion"/>
  </si>
  <si>
    <t>受補助單位資訊查詢功能</t>
    <phoneticPr fontId="5" type="noConversion"/>
  </si>
  <si>
    <t xml:space="preserve">報表功能擴充及活動成果功能擴充  </t>
    <phoneticPr fontId="5" type="noConversion"/>
  </si>
  <si>
    <t>資料圖表統計功能</t>
    <phoneticPr fontId="5" type="noConversion"/>
  </si>
  <si>
    <t>其他
-綜合規劃司(資料統計及匯出)  
-配合國發會CGSS擴充欄位
-文化統計報表欄位建立及介接</t>
    <phoneticPr fontId="5" type="noConversion"/>
  </si>
  <si>
    <t>20170119_mocgrant_v3</t>
    <phoneticPr fontId="5" type="noConversion"/>
  </si>
  <si>
    <t>項目</t>
  </si>
  <si>
    <t>說明</t>
  </si>
  <si>
    <t>專案管理</t>
  </si>
  <si>
    <t>(PM)</t>
  </si>
  <si>
    <t>分析企劃</t>
  </si>
  <si>
    <t>(SA)</t>
  </si>
  <si>
    <t>程式設計</t>
  </si>
  <si>
    <t>(PG)</t>
  </si>
  <si>
    <t>小計</t>
  </si>
  <si>
    <t>工作時數</t>
  </si>
  <si>
    <t>時薪單價</t>
  </si>
  <si>
    <t>時薪</t>
  </si>
  <si>
    <t>單價</t>
  </si>
  <si>
    <t>系統維護服務作業</t>
  </si>
  <si>
    <t>提供各機關定期與不定期維護服務或問題諮詢</t>
  </si>
  <si>
    <t>系統功能需求項目</t>
  </si>
  <si>
    <r>
      <t>媒體公關組</t>
    </r>
    <r>
      <rPr>
        <sz val="14"/>
        <rFont val="Times New Roman"/>
        <family val="1"/>
      </rPr>
      <t>_</t>
    </r>
    <r>
      <rPr>
        <sz val="14"/>
        <rFont val="標楷體"/>
        <family val="3"/>
        <charset val="136"/>
      </rPr>
      <t>本部暨所屬行事曆功能擴充（增加欄位及產出報表）</t>
    </r>
  </si>
  <si>
    <t>國會聯絡管理系統表單新增修改</t>
  </si>
  <si>
    <r>
      <t>工藝中心表單新增修改</t>
    </r>
    <r>
      <rPr>
        <sz val="14"/>
        <rFont val="Times New Roman"/>
        <family val="1"/>
      </rPr>
      <t>(</t>
    </r>
    <r>
      <rPr>
        <sz val="14"/>
        <rFont val="標楷體"/>
        <family val="3"/>
        <charset val="136"/>
      </rPr>
      <t>赴大陸申請單）</t>
    </r>
  </si>
  <si>
    <t>資源分享專區功能擴充（分享專區）</t>
  </si>
  <si>
    <t>需求變更表單與分派功能擴充</t>
  </si>
  <si>
    <t>人權館的會議室資訊整合至本館行事曆</t>
  </si>
  <si>
    <t>活動報名功能增加功能選項</t>
  </si>
  <si>
    <t>報價金額總計</t>
  </si>
  <si>
    <t>工時</t>
    <phoneticPr fontId="5" type="noConversion"/>
  </si>
  <si>
    <t>小計</t>
    <phoneticPr fontId="5" type="noConversion"/>
  </si>
  <si>
    <t xml:space="preserve">單價 </t>
    <phoneticPr fontId="5" type="noConversion"/>
  </si>
  <si>
    <t>專案管理</t>
    <phoneticPr fontId="5" type="noConversion"/>
  </si>
  <si>
    <t>分析企劃</t>
    <phoneticPr fontId="5" type="noConversion"/>
  </si>
  <si>
    <t>程式設計</t>
    <phoneticPr fontId="5" type="noConversion"/>
  </si>
  <si>
    <t>分類</t>
    <phoneticPr fontId="5" type="noConversion"/>
  </si>
  <si>
    <t>系統
維運</t>
    <phoneticPr fontId="5" type="noConversion"/>
  </si>
  <si>
    <t>教育訓練（4場）</t>
    <phoneticPr fontId="5" type="noConversion"/>
  </si>
  <si>
    <t>經費總計</t>
    <phoneticPr fontId="5" type="noConversion"/>
  </si>
  <si>
    <t>使用者界面改版設計
- 民眾互動及重要資訊呈現:顯示報名中要點/評審委員名單/相關後端上架資訊/獎補助申請之教學流程
- 要點分類
- 會員功能擴充
- 線上申請/報名功能擴充
- 獎補助訊息主動通知 - 帳號密碼管理功能功能調整</t>
    <phoneticPr fontId="5" type="noConversion"/>
  </si>
  <si>
    <t xml:space="preserve">年度案件關檔鎖定(特定使用者變更）  </t>
    <phoneticPr fontId="5" type="noConversion"/>
  </si>
  <si>
    <t>使用者帳號權限新增異動申請單</t>
    <phoneticPr fontId="5" type="noConversion"/>
  </si>
  <si>
    <r>
      <t>配合</t>
    </r>
    <r>
      <rPr>
        <sz val="12"/>
        <rFont val="Times New Roman"/>
        <family val="1"/>
      </rPr>
      <t xml:space="preserve"> CGSS </t>
    </r>
    <r>
      <rPr>
        <sz val="12"/>
        <rFont val="標楷體"/>
        <family val="3"/>
        <charset val="136"/>
      </rPr>
      <t>擴充功能</t>
    </r>
    <phoneticPr fontId="5" type="noConversion"/>
  </si>
  <si>
    <t>其它本案擴充功能
－查詢團隊歷史案件部分欄位資訊
－文化統計報表欄位建立及介接
－擴充獎補助案件資料統計功能</t>
    <phoneticPr fontId="5" type="noConversion"/>
  </si>
  <si>
    <t>項次</t>
  </si>
  <si>
    <t>品項</t>
  </si>
  <si>
    <t>數量</t>
  </si>
  <si>
    <t>分類</t>
  </si>
  <si>
    <t>工時</t>
  </si>
  <si>
    <t xml:space="preserve">單價 </t>
  </si>
  <si>
    <t>一、</t>
  </si>
  <si>
    <t>系統及資料維運作業（文化部及所屬17機關）</t>
  </si>
  <si>
    <t>系統</t>
  </si>
  <si>
    <t>維運</t>
  </si>
  <si>
    <t>系統功能運作維運（系統異常排除、程式錯誤修正）</t>
  </si>
  <si>
    <t>獎補助要點表單維運、新增、調整與諮詢</t>
  </si>
  <si>
    <t>線上報名/申請機制維護</t>
  </si>
  <si>
    <t>推廣、輔導各機關辦理線上報名</t>
  </si>
  <si>
    <t>內、外部介接維護</t>
  </si>
  <si>
    <t>教育訓練（4場）</t>
  </si>
  <si>
    <t>客服輔導</t>
  </si>
  <si>
    <t>-客戶問題處理與回覆</t>
  </si>
  <si>
    <t>-客戶問題記錄與整理</t>
  </si>
  <si>
    <t>-會員資料整併更新</t>
  </si>
  <si>
    <t>-程式版本更新說明</t>
  </si>
  <si>
    <t>二、</t>
  </si>
  <si>
    <t>獎補助系統管理功能改版擴充</t>
  </si>
  <si>
    <t>前臺網站改版建置</t>
  </si>
  <si>
    <t>前臺</t>
  </si>
  <si>
    <t>使用者界面改版設計</t>
  </si>
  <si>
    <t>- 民眾互動及重要資訊呈現:顯示報名中要點/評審委員名單/相關後端上架資訊/獎補助申請之教學流程</t>
  </si>
  <si>
    <t>- 要點分類</t>
  </si>
  <si>
    <t>- 會員功能擴充</t>
  </si>
  <si>
    <t>- 線上申請/報名功能擴充</t>
  </si>
  <si>
    <t>- 獎補助訊息主動通知 - 帳號密碼管理功能功能調整</t>
  </si>
  <si>
    <t>RWD響應式網站設計( 首頁、內容頁、會員管理等)</t>
  </si>
  <si>
    <t xml:space="preserve">系統管理架構調整及功能擴充  </t>
  </si>
  <si>
    <t>後台</t>
  </si>
  <si>
    <t>系統架構調整</t>
  </si>
  <si>
    <t>-欄位調整、欄位檢核。依受理日期控管各機關資料,產生報表(要點生命週期的時間來查核)</t>
  </si>
  <si>
    <t>-前臺資訊呈現與連結。</t>
  </si>
  <si>
    <t>-要點功能調整（類別、表單、範本等）</t>
  </si>
  <si>
    <t>-前臺資訊上架管理</t>
  </si>
  <si>
    <t>案件審查管理機制</t>
  </si>
  <si>
    <t>程式版本維護管理</t>
  </si>
  <si>
    <t xml:space="preserve">年度案件關檔鎖定(特定使用者變更）  </t>
  </si>
  <si>
    <t>使用者帳號權限新增異動申請單</t>
  </si>
  <si>
    <r>
      <t>配合</t>
    </r>
    <r>
      <rPr>
        <sz val="12"/>
        <rFont val="Times New Roman"/>
        <family val="1"/>
      </rPr>
      <t xml:space="preserve"> CGSS </t>
    </r>
    <r>
      <rPr>
        <sz val="12"/>
        <rFont val="標楷體"/>
        <family val="3"/>
        <charset val="136"/>
      </rPr>
      <t>擴充功能</t>
    </r>
  </si>
  <si>
    <t>其它本案擴充功能</t>
  </si>
  <si>
    <t>－查詢團隊歷史案件部分欄位資訊</t>
  </si>
  <si>
    <t>－文化統計報表欄位建立及介接</t>
  </si>
  <si>
    <t>－擴充獎補助案件資料統計功能</t>
  </si>
  <si>
    <t>經費總計</t>
  </si>
  <si>
    <t>維運總計</t>
    <phoneticPr fontId="5" type="noConversion"/>
  </si>
  <si>
    <t>擴充總計</t>
    <phoneticPr fontId="5" type="noConversion"/>
  </si>
  <si>
    <t>聯絡人：</t>
    <phoneticPr fontId="19" type="noConversion"/>
  </si>
  <si>
    <t>估價編號：</t>
    <phoneticPr fontId="19" type="noConversion"/>
  </si>
  <si>
    <t>項次</t>
    <phoneticPr fontId="19" type="noConversion"/>
  </si>
  <si>
    <t>備註：</t>
    <phoneticPr fontId="19" type="noConversion"/>
  </si>
  <si>
    <t>總價(含稅)：</t>
    <phoneticPr fontId="19" type="noConversion"/>
  </si>
  <si>
    <t>以下空白</t>
    <phoneticPr fontId="19" type="noConversion"/>
  </si>
  <si>
    <t>總價</t>
    <phoneticPr fontId="19" type="noConversion"/>
  </si>
  <si>
    <t>以上單項報價均為含稅價。</t>
    <phoneticPr fontId="19" type="noConversion"/>
  </si>
  <si>
    <t>數量</t>
    <phoneticPr fontId="19" type="noConversion"/>
  </si>
  <si>
    <t>單位</t>
    <phoneticPr fontId="19" type="noConversion"/>
  </si>
  <si>
    <t>公司底價</t>
    <phoneticPr fontId="19" type="noConversion"/>
  </si>
  <si>
    <t>********** 估    價    單 **********</t>
    <phoneticPr fontId="19" type="noConversion"/>
  </si>
  <si>
    <t>TEL：</t>
    <phoneticPr fontId="19" type="noConversion"/>
  </si>
  <si>
    <t>估價日期：</t>
    <phoneticPr fontId="19" type="noConversion"/>
  </si>
  <si>
    <t>致       ：</t>
    <phoneticPr fontId="19" type="noConversion"/>
  </si>
  <si>
    <t>有效日期：</t>
    <phoneticPr fontId="19" type="noConversion"/>
  </si>
  <si>
    <t>承辦業務：</t>
    <phoneticPr fontId="19" type="noConversion"/>
  </si>
  <si>
    <t>E-Mail   ：</t>
    <phoneticPr fontId="19" type="noConversion"/>
  </si>
  <si>
    <t>FAX：</t>
    <phoneticPr fontId="19" type="noConversion"/>
  </si>
  <si>
    <t>品名</t>
    <phoneticPr fontId="19" type="noConversion"/>
  </si>
  <si>
    <t>總金額： 新台幣</t>
    <phoneticPr fontId="19" type="noConversion"/>
  </si>
  <si>
    <t>元整</t>
    <phoneticPr fontId="19" type="noConversion"/>
  </si>
  <si>
    <t>(2)ProxyOne Wildcard SSL憑證自動更新服務</t>
    <phoneticPr fontId="19" type="noConversion"/>
  </si>
  <si>
    <t>付款方式：依雙方合約。</t>
    <phoneticPr fontId="19" type="noConversion"/>
  </si>
  <si>
    <t>(1)ProxyOne網域名稱服務
( Domain Name：*.proxyone****.flysheet.com.tw )</t>
    <phoneticPr fontId="19" type="noConversion"/>
  </si>
  <si>
    <t xml:space="preserve">ProxyOne Plus升級服務-SSL 憑證自動更新服務 </t>
    <phoneticPr fontId="19" type="noConversion"/>
  </si>
  <si>
    <t>林口長庚醫院圖書館</t>
    <phoneticPr fontId="19" type="noConversion"/>
  </si>
  <si>
    <t>林定芳 小姐</t>
    <phoneticPr fontId="19" type="noConversion"/>
  </si>
  <si>
    <t>(03)328-1200 ext 3464</t>
    <phoneticPr fontId="19" type="noConversion"/>
  </si>
  <si>
    <t>CGMH_1150721</t>
    <phoneticPr fontId="19" type="noConversion"/>
  </si>
  <si>
    <t>115年07月21日</t>
    <phoneticPr fontId="19" type="noConversion"/>
  </si>
  <si>
    <t>115年07月31日</t>
    <phoneticPr fontId="19" type="noConversion"/>
  </si>
  <si>
    <t>訂期:115/07/15-116/07/14</t>
    <phoneticPr fontId="19" type="noConversion"/>
  </si>
  <si>
    <t>陳品伃</t>
    <phoneticPr fontId="19" type="noConversion"/>
  </si>
  <si>
    <t>emilychen@flysheet.com.tw</t>
    <phoneticPr fontId="19" type="noConversion"/>
  </si>
  <si>
    <t>02-26582223#113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</si>
</sst>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76" formatCode="_-* #,##0_-;\-* #,##0_-;_-* &quot;-&quot;_-;_-@_-"/>
    <numFmt numFmtId="177" formatCode="_-&quot;$&quot;* #,##0.00_-;\-&quot;$&quot;* #,##0.00_-;_-&quot;$&quot;* &quot;-&quot;??_-;_-@_-"/>
    <numFmt numFmtId="178" formatCode="&quot;$&quot;#,##0"/>
    <numFmt numFmtId="179" formatCode="_(&quot;$&quot;* #,##0_);_(&quot;$&quot;* \(#,##0\);_(&quot;$&quot;* &quot;-&quot;??_);_(@_)"/>
    <numFmt numFmtId="180" formatCode="[DBNum2][$-404]General"/>
  </numFmts>
  <fonts count="32">
    <font>
      <sz val="12"/>
      <name val="新細明體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3"/>
      <charset val="136"/>
    </font>
    <font>
      <sz val="12"/>
      <name val="標楷體"/>
      <family val="3"/>
      <charset val="136"/>
    </font>
    <font>
      <sz val="9"/>
      <name val="新細明體"/>
      <family val="3"/>
      <charset val="136"/>
    </font>
    <font>
      <b/>
      <sz val="12"/>
      <name val="標楷體"/>
      <family val="3"/>
      <charset val="136"/>
    </font>
    <font>
      <u/>
      <sz val="12"/>
      <color theme="11"/>
      <name val="新細明體"/>
      <family val="3"/>
      <charset val="136"/>
    </font>
    <font>
      <b/>
      <sz val="12"/>
      <name val="標楷體"/>
      <family val="4"/>
      <charset val="136"/>
    </font>
    <font>
      <u/>
      <sz val="12"/>
      <color theme="10"/>
      <name val="新細明體"/>
      <family val="3"/>
      <charset val="136"/>
    </font>
    <font>
      <sz val="12"/>
      <name val="新細明體"/>
      <family val="3"/>
      <charset val="136"/>
      <scheme val="minor"/>
    </font>
    <font>
      <sz val="18"/>
      <name val="Copperplate Gothic Bold"/>
      <family val="2"/>
    </font>
    <font>
      <sz val="12"/>
      <name val="Times New Roman"/>
      <family val="1"/>
    </font>
    <font>
      <b/>
      <sz val="14"/>
      <color rgb="FF000000"/>
      <name val="標楷體"/>
      <family val="3"/>
      <charset val="136"/>
    </font>
    <font>
      <b/>
      <sz val="14"/>
      <name val="標楷體"/>
      <family val="3"/>
      <charset val="136"/>
    </font>
    <font>
      <b/>
      <sz val="14"/>
      <name val="Times New Roman"/>
      <family val="1"/>
    </font>
    <font>
      <sz val="14"/>
      <name val="標楷體"/>
      <family val="3"/>
      <charset val="136"/>
    </font>
    <font>
      <sz val="14"/>
      <name val="Times New Roman"/>
      <family val="1"/>
    </font>
    <font>
      <b/>
      <sz val="12"/>
      <name val="新細明體"/>
      <family val="3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微軟正黑體"/>
      <family val="2"/>
      <charset val="136"/>
    </font>
    <font>
      <sz val="16"/>
      <name val="微軟正黑體"/>
      <family val="2"/>
      <charset val="136"/>
    </font>
    <font>
      <sz val="11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333333"/>
      <name val="微軟正黑體"/>
      <family val="2"/>
      <charset val="136"/>
    </font>
    <font>
      <b/>
      <u/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u/>
      <sz val="12"/>
      <color theme="1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9">
    <xf numFmtId="0" fontId="0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177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4" fontId="21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/>
  </cellStyleXfs>
  <cellXfs count="223">
    <xf numFmtId="0" fontId="0" fillId="0" borderId="0" xfId="0"/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3" xfId="1" applyFont="1" applyBorder="1" applyAlignment="1">
      <alignment horizontal="center" vertical="center"/>
    </xf>
    <xf numFmtId="6" fontId="4" fillId="0" borderId="3" xfId="0" applyNumberFormat="1" applyFont="1" applyBorder="1" applyAlignment="1">
      <alignment vertical="center"/>
    </xf>
    <xf numFmtId="6" fontId="6" fillId="0" borderId="14" xfId="1" applyNumberFormat="1" applyFont="1" applyBorder="1" applyAlignment="1">
      <alignment horizontal="right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6" fontId="4" fillId="0" borderId="4" xfId="0" applyNumberFormat="1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178" fontId="4" fillId="0" borderId="15" xfId="1" applyNumberFormat="1" applyFont="1" applyBorder="1">
      <alignment vertical="center"/>
    </xf>
    <xf numFmtId="49" fontId="4" fillId="0" borderId="3" xfId="0" applyNumberFormat="1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4" fillId="0" borderId="16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6" fontId="0" fillId="0" borderId="0" xfId="0" applyNumberFormat="1"/>
    <xf numFmtId="0" fontId="10" fillId="0" borderId="2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6" fillId="0" borderId="25" xfId="0" applyFont="1" applyBorder="1" applyAlignment="1">
      <alignment horizontal="justify" vertical="center" wrapText="1"/>
    </xf>
    <xf numFmtId="0" fontId="16" fillId="0" borderId="27" xfId="0" applyFont="1" applyBorder="1" applyAlignment="1">
      <alignment vertical="center" wrapText="1"/>
    </xf>
    <xf numFmtId="0" fontId="17" fillId="2" borderId="27" xfId="0" applyFont="1" applyFill="1" applyBorder="1" applyAlignment="1">
      <alignment horizontal="center" vertical="center" wrapText="1"/>
    </xf>
    <xf numFmtId="6" fontId="17" fillId="2" borderId="27" xfId="0" applyNumberFormat="1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/>
    </xf>
    <xf numFmtId="6" fontId="17" fillId="0" borderId="27" xfId="0" applyNumberFormat="1" applyFont="1" applyBorder="1" applyAlignment="1">
      <alignment horizontal="center" vertical="center"/>
    </xf>
    <xf numFmtId="6" fontId="17" fillId="0" borderId="28" xfId="0" applyNumberFormat="1" applyFont="1" applyBorder="1" applyAlignment="1">
      <alignment horizontal="right" vertical="center"/>
    </xf>
    <xf numFmtId="6" fontId="17" fillId="0" borderId="29" xfId="0" applyNumberFormat="1" applyFont="1" applyBorder="1" applyAlignment="1">
      <alignment horizontal="right" vertical="center"/>
    </xf>
    <xf numFmtId="0" fontId="0" fillId="0" borderId="3" xfId="0" applyBorder="1"/>
    <xf numFmtId="0" fontId="8" fillId="0" borderId="3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49" fontId="6" fillId="0" borderId="3" xfId="0" applyNumberFormat="1" applyFont="1" applyBorder="1" applyAlignment="1">
      <alignment vertical="center" wrapText="1"/>
    </xf>
    <xf numFmtId="0" fontId="6" fillId="0" borderId="3" xfId="0" quotePrefix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6" fontId="18" fillId="0" borderId="3" xfId="0" applyNumberFormat="1" applyFont="1" applyBorder="1" applyAlignment="1">
      <alignment vertical="center" wrapText="1"/>
    </xf>
    <xf numFmtId="9" fontId="12" fillId="0" borderId="45" xfId="0" applyNumberFormat="1" applyFont="1" applyBorder="1" applyAlignment="1">
      <alignment vertical="center" wrapText="1"/>
    </xf>
    <xf numFmtId="9" fontId="12" fillId="0" borderId="35" xfId="0" applyNumberFormat="1" applyFont="1" applyBorder="1" applyAlignment="1">
      <alignment vertical="center" wrapText="1"/>
    </xf>
    <xf numFmtId="9" fontId="12" fillId="0" borderId="46" xfId="0" applyNumberFormat="1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6" fontId="4" fillId="3" borderId="3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6" fontId="4" fillId="3" borderId="3" xfId="0" applyNumberFormat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6" fontId="4" fillId="0" borderId="45" xfId="0" applyNumberFormat="1" applyFont="1" applyBorder="1" applyAlignment="1">
      <alignment horizontal="right" vertical="center" wrapText="1"/>
    </xf>
    <xf numFmtId="6" fontId="4" fillId="0" borderId="35" xfId="0" applyNumberFormat="1" applyFont="1" applyBorder="1" applyAlignment="1">
      <alignment horizontal="right" vertical="center" wrapText="1"/>
    </xf>
    <xf numFmtId="6" fontId="4" fillId="0" borderId="46" xfId="0" applyNumberFormat="1" applyFont="1" applyBorder="1" applyAlignment="1">
      <alignment horizontal="right" vertical="center" wrapText="1"/>
    </xf>
    <xf numFmtId="0" fontId="4" fillId="0" borderId="35" xfId="0" applyFont="1" applyBorder="1" applyAlignment="1">
      <alignment horizontal="right" vertical="center"/>
    </xf>
    <xf numFmtId="0" fontId="4" fillId="0" borderId="27" xfId="0" applyFont="1" applyBorder="1" applyAlignment="1">
      <alignment horizontal="right" vertical="center"/>
    </xf>
    <xf numFmtId="0" fontId="0" fillId="0" borderId="9" xfId="0" applyBorder="1"/>
    <xf numFmtId="0" fontId="4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4" fillId="4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6" fontId="4" fillId="4" borderId="19" xfId="0" applyNumberFormat="1" applyFont="1" applyFill="1" applyBorder="1" applyAlignment="1">
      <alignment vertical="center"/>
    </xf>
    <xf numFmtId="6" fontId="4" fillId="0" borderId="19" xfId="0" applyNumberFormat="1" applyFont="1" applyBorder="1" applyAlignment="1">
      <alignment vertical="center"/>
    </xf>
    <xf numFmtId="178" fontId="4" fillId="0" borderId="8" xfId="0" applyNumberFormat="1" applyFont="1" applyBorder="1" applyAlignment="1">
      <alignment horizontal="center" vertical="center" wrapText="1"/>
    </xf>
    <xf numFmtId="178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right" vertical="center"/>
    </xf>
    <xf numFmtId="6" fontId="4" fillId="4" borderId="19" xfId="0" applyNumberFormat="1" applyFont="1" applyFill="1" applyBorder="1" applyAlignment="1">
      <alignment horizontal="right" vertical="center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0" fillId="0" borderId="19" xfId="0" applyBorder="1"/>
    <xf numFmtId="0" fontId="4" fillId="4" borderId="19" xfId="0" applyFont="1" applyFill="1" applyBorder="1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/>
    </xf>
    <xf numFmtId="0" fontId="4" fillId="4" borderId="19" xfId="0" applyFont="1" applyFill="1" applyBorder="1" applyAlignment="1">
      <alignment vertical="center"/>
    </xf>
    <xf numFmtId="49" fontId="6" fillId="0" borderId="19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19" xfId="0" applyNumberFormat="1" applyFont="1" applyBorder="1" applyAlignment="1">
      <alignment vertical="center" wrapText="1"/>
    </xf>
    <xf numFmtId="6" fontId="18" fillId="0" borderId="19" xfId="0" applyNumberFormat="1" applyFont="1" applyBorder="1" applyAlignment="1">
      <alignment vertical="center" wrapText="1"/>
    </xf>
    <xf numFmtId="8" fontId="0" fillId="0" borderId="0" xfId="0" applyNumberFormat="1"/>
    <xf numFmtId="0" fontId="0" fillId="0" borderId="49" xfId="0" applyBorder="1"/>
    <xf numFmtId="0" fontId="0" fillId="0" borderId="50" xfId="0" applyBorder="1"/>
    <xf numFmtId="0" fontId="0" fillId="0" borderId="51" xfId="0" applyBorder="1"/>
    <xf numFmtId="6" fontId="4" fillId="0" borderId="19" xfId="0" applyNumberFormat="1" applyFont="1" applyBorder="1" applyAlignment="1">
      <alignment horizontal="right" vertical="center"/>
    </xf>
    <xf numFmtId="0" fontId="22" fillId="0" borderId="0" xfId="114" applyFont="1">
      <alignment vertical="center"/>
    </xf>
    <xf numFmtId="0" fontId="22" fillId="0" borderId="0" xfId="114" applyFont="1" applyAlignment="1">
      <alignment vertical="center" wrapText="1"/>
    </xf>
    <xf numFmtId="0" fontId="22" fillId="0" borderId="0" xfId="114" applyFont="1" applyAlignment="1">
      <alignment horizontal="right" vertical="center"/>
    </xf>
    <xf numFmtId="9" fontId="22" fillId="0" borderId="0" xfId="114" applyNumberFormat="1" applyFont="1">
      <alignment vertical="center"/>
    </xf>
    <xf numFmtId="179" fontId="22" fillId="0" borderId="0" xfId="117" applyNumberFormat="1" applyFont="1">
      <alignment vertical="center"/>
    </xf>
    <xf numFmtId="179" fontId="22" fillId="0" borderId="0" xfId="117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176" fontId="22" fillId="0" borderId="0" xfId="115" applyFont="1" applyBorder="1">
      <alignment vertical="center"/>
    </xf>
    <xf numFmtId="176" fontId="22" fillId="0" borderId="0" xfId="115" applyFont="1">
      <alignment vertical="center"/>
    </xf>
    <xf numFmtId="0" fontId="22" fillId="0" borderId="0" xfId="114" applyFont="1" applyAlignment="1">
      <alignment horizontal="left" vertical="center" wrapText="1"/>
    </xf>
    <xf numFmtId="0" fontId="26" fillId="0" borderId="0" xfId="114" applyFont="1" applyAlignment="1">
      <alignment horizontal="left" vertical="center"/>
    </xf>
    <xf numFmtId="0" fontId="26" fillId="0" borderId="0" xfId="116" applyFont="1" applyAlignment="1">
      <alignment vertical="center" wrapText="1"/>
    </xf>
    <xf numFmtId="0" fontId="26" fillId="0" borderId="0" xfId="114" applyFont="1" applyAlignment="1">
      <alignment horizontal="right" vertical="center"/>
    </xf>
    <xf numFmtId="0" fontId="23" fillId="0" borderId="0" xfId="0" applyFont="1" applyAlignment="1">
      <alignment horizontal="left" vertical="center" wrapText="1"/>
    </xf>
    <xf numFmtId="6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7" fillId="5" borderId="52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3" fillId="6" borderId="0" xfId="0" applyFont="1" applyFill="1" applyAlignment="1">
      <alignment horizontal="center" vertical="center" wrapText="1"/>
    </xf>
    <xf numFmtId="0" fontId="23" fillId="6" borderId="0" xfId="0" applyFont="1" applyFill="1" applyAlignment="1">
      <alignment horizontal="left" vertical="center" wrapText="1"/>
    </xf>
    <xf numFmtId="6" fontId="23" fillId="6" borderId="0" xfId="0" applyNumberFormat="1" applyFont="1" applyFill="1" applyAlignment="1">
      <alignment horizontal="center" vertical="center" wrapText="1"/>
    </xf>
    <xf numFmtId="0" fontId="29" fillId="0" borderId="0" xfId="114" applyFont="1" applyAlignment="1">
      <alignment vertical="center" wrapText="1"/>
    </xf>
    <xf numFmtId="0" fontId="30" fillId="0" borderId="0" xfId="114" applyFont="1">
      <alignment vertical="center"/>
    </xf>
    <xf numFmtId="0" fontId="30" fillId="0" borderId="0" xfId="114" applyFont="1" applyAlignment="1">
      <alignment horizontal="right" vertical="center" wrapText="1"/>
    </xf>
    <xf numFmtId="180" fontId="30" fillId="0" borderId="0" xfId="114" applyNumberFormat="1" applyFont="1" applyAlignment="1">
      <alignment horizontal="center" vertical="center" wrapText="1"/>
    </xf>
    <xf numFmtId="6" fontId="23" fillId="0" borderId="12" xfId="0" applyNumberFormat="1" applyFont="1" applyBorder="1" applyAlignment="1">
      <alignment horizontal="center" vertical="center" wrapText="1"/>
    </xf>
    <xf numFmtId="6" fontId="23" fillId="0" borderId="0" xfId="0" applyNumberFormat="1" applyFont="1" applyAlignment="1">
      <alignment horizontal="center" vertical="center" wrapText="1"/>
    </xf>
    <xf numFmtId="0" fontId="26" fillId="0" borderId="0" xfId="114" applyFont="1" applyAlignment="1">
      <alignment horizontal="left" vertical="center" wrapText="1"/>
    </xf>
    <xf numFmtId="0" fontId="26" fillId="0" borderId="0" xfId="114" applyFont="1">
      <alignment vertical="center"/>
    </xf>
    <xf numFmtId="0" fontId="23" fillId="6" borderId="53" xfId="0" applyFont="1" applyFill="1" applyBorder="1" applyAlignment="1">
      <alignment horizontal="left" vertical="center" wrapText="1"/>
    </xf>
    <xf numFmtId="0" fontId="27" fillId="5" borderId="52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2" fillId="0" borderId="0" xfId="114" applyFont="1">
      <alignment vertical="center"/>
    </xf>
    <xf numFmtId="0" fontId="25" fillId="0" borderId="0" xfId="114" applyFont="1" applyAlignment="1">
      <alignment horizontal="center" vertical="center"/>
    </xf>
    <xf numFmtId="0" fontId="22" fillId="0" borderId="0" xfId="114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31" fillId="0" borderId="0" xfId="118" applyAlignment="1">
      <alignment vertical="center"/>
    </xf>
    <xf numFmtId="0" fontId="26" fillId="0" borderId="0" xfId="114" applyFont="1" applyAlignment="1">
      <alignment horizontal="left" vertical="center"/>
    </xf>
    <xf numFmtId="0" fontId="26" fillId="0" borderId="0" xfId="114" applyFont="1" applyAlignment="1">
      <alignment horizontal="center" vertical="center"/>
    </xf>
    <xf numFmtId="0" fontId="28" fillId="5" borderId="52" xfId="0" applyFont="1" applyFill="1" applyBorder="1" applyAlignment="1">
      <alignment horizontal="center" vertical="center" wrapText="1"/>
    </xf>
    <xf numFmtId="6" fontId="23" fillId="6" borderId="0" xfId="0" applyNumberFormat="1" applyFont="1" applyFill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6" fontId="4" fillId="0" borderId="2" xfId="0" applyNumberFormat="1" applyFont="1" applyBorder="1" applyAlignment="1">
      <alignment horizontal="right" vertical="center"/>
    </xf>
    <xf numFmtId="6" fontId="4" fillId="0" borderId="8" xfId="0" applyNumberFormat="1" applyFont="1" applyBorder="1" applyAlignment="1">
      <alignment horizontal="right" vertical="center"/>
    </xf>
    <xf numFmtId="6" fontId="4" fillId="0" borderId="9" xfId="0" applyNumberFormat="1" applyFont="1" applyBorder="1" applyAlignment="1">
      <alignment horizontal="right" vertical="center"/>
    </xf>
    <xf numFmtId="178" fontId="4" fillId="0" borderId="5" xfId="1" applyNumberFormat="1" applyFont="1" applyBorder="1" applyAlignment="1">
      <alignment horizontal="center" vertical="center"/>
    </xf>
    <xf numFmtId="178" fontId="4" fillId="0" borderId="6" xfId="1" applyNumberFormat="1" applyFont="1" applyBorder="1" applyAlignment="1">
      <alignment horizontal="center" vertical="center"/>
    </xf>
    <xf numFmtId="178" fontId="4" fillId="0" borderId="7" xfId="1" applyNumberFormat="1" applyFont="1" applyBorder="1" applyAlignment="1">
      <alignment horizontal="center" vertical="center"/>
    </xf>
    <xf numFmtId="6" fontId="4" fillId="0" borderId="5" xfId="0" applyNumberFormat="1" applyFont="1" applyBorder="1" applyAlignment="1">
      <alignment horizontal="center" vertical="center"/>
    </xf>
    <xf numFmtId="6" fontId="4" fillId="0" borderId="6" xfId="0" applyNumberFormat="1" applyFont="1" applyBorder="1" applyAlignment="1">
      <alignment horizontal="center" vertical="center"/>
    </xf>
    <xf numFmtId="6" fontId="4" fillId="0" borderId="7" xfId="0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right" vertical="center"/>
    </xf>
    <xf numFmtId="0" fontId="6" fillId="0" borderId="12" xfId="1" applyFont="1" applyBorder="1" applyAlignment="1">
      <alignment horizontal="right" vertical="center"/>
    </xf>
    <xf numFmtId="0" fontId="6" fillId="0" borderId="13" xfId="1" applyFont="1" applyBorder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6" fontId="4" fillId="0" borderId="2" xfId="0" applyNumberFormat="1" applyFont="1" applyBorder="1" applyAlignment="1">
      <alignment horizontal="center" vertical="center"/>
    </xf>
    <xf numFmtId="6" fontId="4" fillId="0" borderId="8" xfId="0" applyNumberFormat="1" applyFont="1" applyBorder="1" applyAlignment="1">
      <alignment horizontal="center" vertical="center"/>
    </xf>
    <xf numFmtId="6" fontId="4" fillId="0" borderId="9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6" fontId="4" fillId="0" borderId="3" xfId="0" applyNumberFormat="1" applyFont="1" applyBorder="1" applyAlignment="1">
      <alignment horizontal="right" vertical="center"/>
    </xf>
    <xf numFmtId="6" fontId="4" fillId="0" borderId="3" xfId="0" applyNumberFormat="1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178" fontId="4" fillId="0" borderId="3" xfId="1" applyNumberFormat="1" applyFont="1" applyBorder="1" applyAlignment="1">
      <alignment horizontal="center" vertical="center" wrapText="1"/>
    </xf>
    <xf numFmtId="178" fontId="4" fillId="0" borderId="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6" fontId="4" fillId="4" borderId="2" xfId="0" applyNumberFormat="1" applyFont="1" applyFill="1" applyBorder="1" applyAlignment="1">
      <alignment vertical="center"/>
    </xf>
    <xf numFmtId="6" fontId="4" fillId="4" borderId="8" xfId="0" applyNumberFormat="1" applyFont="1" applyFill="1" applyBorder="1" applyAlignment="1">
      <alignment vertical="center"/>
    </xf>
    <xf numFmtId="6" fontId="4" fillId="4" borderId="9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47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6" fontId="4" fillId="4" borderId="2" xfId="0" applyNumberFormat="1" applyFont="1" applyFill="1" applyBorder="1" applyAlignment="1">
      <alignment horizontal="right" vertical="center"/>
    </xf>
    <xf numFmtId="6" fontId="4" fillId="4" borderId="8" xfId="0" applyNumberFormat="1" applyFont="1" applyFill="1" applyBorder="1" applyAlignment="1">
      <alignment horizontal="right" vertical="center"/>
    </xf>
    <xf numFmtId="6" fontId="4" fillId="4" borderId="9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8" fillId="0" borderId="48" xfId="0" applyFont="1" applyBorder="1" applyAlignment="1">
      <alignment horizontal="center" vertical="center"/>
    </xf>
    <xf numFmtId="6" fontId="4" fillId="0" borderId="47" xfId="0" applyNumberFormat="1" applyFont="1" applyBorder="1" applyAlignment="1">
      <alignment horizontal="center" vertical="center"/>
    </xf>
    <xf numFmtId="6" fontId="4" fillId="0" borderId="2" xfId="0" applyNumberFormat="1" applyFont="1" applyBorder="1" applyAlignment="1">
      <alignment vertical="center"/>
    </xf>
    <xf numFmtId="6" fontId="4" fillId="0" borderId="8" xfId="0" applyNumberFormat="1" applyFont="1" applyBorder="1" applyAlignment="1">
      <alignment vertical="center"/>
    </xf>
    <xf numFmtId="6" fontId="4" fillId="0" borderId="47" xfId="0" applyNumberFormat="1" applyFont="1" applyBorder="1" applyAlignment="1">
      <alignment vertical="center"/>
    </xf>
    <xf numFmtId="0" fontId="14" fillId="0" borderId="36" xfId="0" applyFont="1" applyBorder="1" applyAlignment="1">
      <alignment horizontal="right" vertical="center"/>
    </xf>
    <xf numFmtId="0" fontId="14" fillId="0" borderId="37" xfId="0" applyFont="1" applyBorder="1" applyAlignment="1">
      <alignment horizontal="right" vertical="center"/>
    </xf>
    <xf numFmtId="0" fontId="14" fillId="0" borderId="38" xfId="0" applyFont="1" applyBorder="1" applyAlignment="1">
      <alignment horizontal="right" vertical="center"/>
    </xf>
    <xf numFmtId="0" fontId="14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justify" vertical="center" wrapText="1"/>
    </xf>
    <xf numFmtId="0" fontId="13" fillId="0" borderId="24" xfId="0" applyFont="1" applyBorder="1" applyAlignment="1">
      <alignment horizontal="justify" vertical="center" wrapText="1"/>
    </xf>
    <xf numFmtId="0" fontId="13" fillId="0" borderId="25" xfId="0" applyFont="1" applyBorder="1" applyAlignment="1">
      <alignment horizontal="justify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4" fillId="0" borderId="30" xfId="0" applyFont="1" applyBorder="1" applyAlignment="1">
      <alignment horizontal="right" vertical="center" wrapText="1"/>
    </xf>
    <xf numFmtId="0" fontId="14" fillId="0" borderId="31" xfId="0" applyFont="1" applyBorder="1" applyAlignment="1">
      <alignment horizontal="right" vertical="center" wrapText="1"/>
    </xf>
    <xf numFmtId="0" fontId="14" fillId="0" borderId="32" xfId="0" applyFont="1" applyBorder="1" applyAlignment="1">
      <alignment horizontal="right" vertical="center" wrapText="1"/>
    </xf>
    <xf numFmtId="0" fontId="16" fillId="0" borderId="33" xfId="0" applyFont="1" applyBorder="1" applyAlignment="1">
      <alignment horizontal="justify" vertical="center" wrapText="1"/>
    </xf>
    <xf numFmtId="0" fontId="16" fillId="0" borderId="24" xfId="0" applyFont="1" applyBorder="1" applyAlignment="1">
      <alignment horizontal="justify" vertical="center" wrapText="1"/>
    </xf>
    <xf numFmtId="0" fontId="16" fillId="0" borderId="25" xfId="0" applyFont="1" applyBorder="1" applyAlignment="1">
      <alignment horizontal="justify" vertical="center" wrapText="1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</cellXfs>
  <cellStyles count="119">
    <cellStyle name="0,0_x000d__x000d_NA_x000d__x000d_" xfId="2" xr:uid="{00000000-0005-0000-0000-000000000000}"/>
    <cellStyle name="一般" xfId="0" builtinId="0"/>
    <cellStyle name="一般 2" xfId="3" xr:uid="{00000000-0005-0000-0000-000002000000}"/>
    <cellStyle name="一般 3" xfId="109" xr:uid="{00000000-0005-0000-0000-000003000000}"/>
    <cellStyle name="一般 4" xfId="110" xr:uid="{00000000-0005-0000-0000-000004000000}"/>
    <cellStyle name="一般 5" xfId="113" xr:uid="{00000000-0005-0000-0000-000005000000}"/>
    <cellStyle name="一般 6" xfId="114" xr:uid="{00000000-0005-0000-0000-000006000000}"/>
    <cellStyle name="一般_飛資得系統科技_德霖技術學院Aleph報價單990910" xfId="1" xr:uid="{00000000-0005-0000-0000-000007000000}"/>
    <cellStyle name="一般_飛資得系統科技_德霖技術學院Aleph報價單990910 2" xfId="116" xr:uid="{00000000-0005-0000-0000-000008000000}"/>
    <cellStyle name="千分位[0] 2" xfId="115" xr:uid="{00000000-0005-0000-0000-000009000000}"/>
    <cellStyle name="已瀏覽過的超連結" xfId="4" builtinId="9" hidden="1"/>
    <cellStyle name="已瀏覽過的超連結" xfId="5" builtinId="9" hidden="1"/>
    <cellStyle name="已瀏覽過的超連結" xfId="6" builtinId="9" hidden="1"/>
    <cellStyle name="已瀏覽過的超連結" xfId="7" builtinId="9" hidden="1"/>
    <cellStyle name="已瀏覽過的超連結" xfId="8" builtinId="9" hidden="1"/>
    <cellStyle name="已瀏覽過的超連結" xfId="9" builtinId="9" hidden="1"/>
    <cellStyle name="已瀏覽過的超連結" xfId="10" builtinId="9" hidden="1"/>
    <cellStyle name="已瀏覽過的超連結" xfId="11" builtinId="9" hidden="1"/>
    <cellStyle name="已瀏覽過的超連結" xfId="12" builtinId="9" hidden="1"/>
    <cellStyle name="已瀏覽過的超連結" xfId="13" builtinId="9" hidden="1"/>
    <cellStyle name="已瀏覽過的超連結" xfId="14" builtinId="9" hidden="1"/>
    <cellStyle name="已瀏覽過的超連結" xfId="15" builtinId="9" hidden="1"/>
    <cellStyle name="已瀏覽過的超連結" xfId="16" builtinId="9" hidden="1"/>
    <cellStyle name="已瀏覽過的超連結" xfId="17" builtinId="9" hidden="1"/>
    <cellStyle name="已瀏覽過的超連結" xfId="18" builtinId="9" hidden="1"/>
    <cellStyle name="已瀏覽過的超連結" xfId="19" builtinId="9" hidden="1"/>
    <cellStyle name="已瀏覽過的超連結" xfId="20" builtinId="9" hidden="1"/>
    <cellStyle name="已瀏覽過的超連結" xfId="21" builtinId="9" hidden="1"/>
    <cellStyle name="已瀏覽過的超連結" xfId="22" builtinId="9" hidden="1"/>
    <cellStyle name="已瀏覽過的超連結" xfId="23" builtinId="9" hidden="1"/>
    <cellStyle name="已瀏覽過的超連結" xfId="24" builtinId="9" hidden="1"/>
    <cellStyle name="已瀏覽過的超連結" xfId="25" builtinId="9" hidden="1"/>
    <cellStyle name="已瀏覽過的超連結" xfId="26" builtinId="9" hidden="1"/>
    <cellStyle name="已瀏覽過的超連結" xfId="27" builtinId="9" hidden="1"/>
    <cellStyle name="已瀏覽過的超連結" xfId="28" builtinId="9" hidden="1"/>
    <cellStyle name="已瀏覽過的超連結" xfId="29" builtinId="9" hidden="1"/>
    <cellStyle name="已瀏覽過的超連結" xfId="30" builtinId="9" hidden="1"/>
    <cellStyle name="已瀏覽過的超連結" xfId="31" builtinId="9" hidden="1"/>
    <cellStyle name="已瀏覽過的超連結" xfId="32" builtinId="9" hidden="1"/>
    <cellStyle name="已瀏覽過的超連結" xfId="33" builtinId="9" hidden="1"/>
    <cellStyle name="已瀏覽過的超連結" xfId="34" builtinId="9" hidden="1"/>
    <cellStyle name="已瀏覽過的超連結" xfId="35" builtinId="9" hidden="1"/>
    <cellStyle name="已瀏覽過的超連結" xfId="36" builtinId="9" hidden="1"/>
    <cellStyle name="已瀏覽過的超連結" xfId="37" builtinId="9" hidden="1"/>
    <cellStyle name="已瀏覽過的超連結" xfId="38" builtinId="9" hidden="1"/>
    <cellStyle name="已瀏覽過的超連結" xfId="39" builtinId="9" hidden="1"/>
    <cellStyle name="已瀏覽過的超連結" xfId="40" builtinId="9" hidden="1"/>
    <cellStyle name="已瀏覽過的超連結" xfId="41" builtinId="9" hidden="1"/>
    <cellStyle name="已瀏覽過的超連結" xfId="42" builtinId="9" hidden="1"/>
    <cellStyle name="已瀏覽過的超連結" xfId="43" builtinId="9" hidden="1"/>
    <cellStyle name="已瀏覽過的超連結" xfId="44" builtinId="9" hidden="1"/>
    <cellStyle name="已瀏覽過的超連結" xfId="45" builtinId="9" hidden="1"/>
    <cellStyle name="已瀏覽過的超連結" xfId="46" builtinId="9" hidden="1"/>
    <cellStyle name="已瀏覽過的超連結" xfId="47" builtinId="9" hidden="1"/>
    <cellStyle name="已瀏覽過的超連結" xfId="48" builtinId="9" hidden="1"/>
    <cellStyle name="已瀏覽過的超連結" xfId="50" builtinId="9" hidden="1"/>
    <cellStyle name="已瀏覽過的超連結" xfId="52" builtinId="9" hidden="1"/>
    <cellStyle name="已瀏覽過的超連結" xfId="54" builtinId="9" hidden="1"/>
    <cellStyle name="已瀏覽過的超連結" xfId="56" builtinId="9" hidden="1"/>
    <cellStyle name="已瀏覽過的超連結" xfId="58" builtinId="9" hidden="1"/>
    <cellStyle name="已瀏覽過的超連結" xfId="60" builtinId="9" hidden="1"/>
    <cellStyle name="已瀏覽過的超連結" xfId="62" builtinId="9" hidden="1"/>
    <cellStyle name="已瀏覽過的超連結" xfId="64" builtinId="9" hidden="1"/>
    <cellStyle name="已瀏覽過的超連結" xfId="66" builtinId="9" hidden="1"/>
    <cellStyle name="已瀏覽過的超連結" xfId="68" builtinId="9" hidden="1"/>
    <cellStyle name="已瀏覽過的超連結" xfId="70" builtinId="9" hidden="1"/>
    <cellStyle name="已瀏覽過的超連結" xfId="72" builtinId="9" hidden="1"/>
    <cellStyle name="已瀏覽過的超連結" xfId="74" builtinId="9" hidden="1"/>
    <cellStyle name="已瀏覽過的超連結" xfId="76" builtinId="9" hidden="1"/>
    <cellStyle name="已瀏覽過的超連結" xfId="78" builtinId="9" hidden="1"/>
    <cellStyle name="已瀏覽過的超連結" xfId="80" builtinId="9" hidden="1"/>
    <cellStyle name="已瀏覽過的超連結" xfId="82" builtinId="9" hidden="1"/>
    <cellStyle name="已瀏覽過的超連結" xfId="84" builtinId="9" hidden="1"/>
    <cellStyle name="已瀏覽過的超連結" xfId="86" builtinId="9" hidden="1"/>
    <cellStyle name="已瀏覽過的超連結" xfId="88" builtinId="9" hidden="1"/>
    <cellStyle name="已瀏覽過的超連結" xfId="90" builtinId="9" hidden="1"/>
    <cellStyle name="已瀏覽過的超連結" xfId="92" builtinId="9" hidden="1"/>
    <cellStyle name="已瀏覽過的超連結" xfId="94" builtinId="9" hidden="1"/>
    <cellStyle name="已瀏覽過的超連結" xfId="96" builtinId="9" hidden="1"/>
    <cellStyle name="已瀏覽過的超連結" xfId="98" builtinId="9" hidden="1"/>
    <cellStyle name="已瀏覽過的超連結" xfId="100" builtinId="9" hidden="1"/>
    <cellStyle name="已瀏覽過的超連結" xfId="102" builtinId="9" hidden="1"/>
    <cellStyle name="已瀏覽過的超連結" xfId="104" builtinId="9" hidden="1"/>
    <cellStyle name="已瀏覽過的超連結" xfId="106" builtinId="9" hidden="1"/>
    <cellStyle name="已瀏覽過的超連結" xfId="108" builtinId="9" hidden="1"/>
    <cellStyle name="百分比 2" xfId="112" xr:uid="{00000000-0005-0000-0000-000055000000}"/>
    <cellStyle name="貨幣" xfId="117" builtinId="4"/>
    <cellStyle name="貨幣 2" xfId="111" xr:uid="{00000000-0005-0000-0000-000057000000}"/>
    <cellStyle name="超連結" xfId="49" builtinId="8" hidden="1"/>
    <cellStyle name="超連結" xfId="51" builtinId="8" hidden="1"/>
    <cellStyle name="超連結" xfId="53" builtinId="8" hidden="1"/>
    <cellStyle name="超連結" xfId="55" builtinId="8" hidden="1"/>
    <cellStyle name="超連結" xfId="57" builtinId="8" hidden="1"/>
    <cellStyle name="超連結" xfId="59" builtinId="8" hidden="1"/>
    <cellStyle name="超連結" xfId="61" builtinId="8" hidden="1"/>
    <cellStyle name="超連結" xfId="63" builtinId="8" hidden="1"/>
    <cellStyle name="超連結" xfId="65" builtinId="8" hidden="1"/>
    <cellStyle name="超連結" xfId="67" builtinId="8" hidden="1"/>
    <cellStyle name="超連結" xfId="69" builtinId="8" hidden="1"/>
    <cellStyle name="超連結" xfId="71" builtinId="8" hidden="1"/>
    <cellStyle name="超連結" xfId="73" builtinId="8" hidden="1"/>
    <cellStyle name="超連結" xfId="75" builtinId="8" hidden="1"/>
    <cellStyle name="超連結" xfId="77" builtinId="8" hidden="1"/>
    <cellStyle name="超連結" xfId="79" builtinId="8" hidden="1"/>
    <cellStyle name="超連結" xfId="81" builtinId="8" hidden="1"/>
    <cellStyle name="超連結" xfId="83" builtinId="8" hidden="1"/>
    <cellStyle name="超連結" xfId="85" builtinId="8" hidden="1"/>
    <cellStyle name="超連結" xfId="87" builtinId="8" hidden="1"/>
    <cellStyle name="超連結" xfId="89" builtinId="8" hidden="1"/>
    <cellStyle name="超連結" xfId="91" builtinId="8" hidden="1"/>
    <cellStyle name="超連結" xfId="93" builtinId="8" hidden="1"/>
    <cellStyle name="超連結" xfId="95" builtinId="8" hidden="1"/>
    <cellStyle name="超連結" xfId="97" builtinId="8" hidden="1"/>
    <cellStyle name="超連結" xfId="99" builtinId="8" hidden="1"/>
    <cellStyle name="超連結" xfId="101" builtinId="8" hidden="1"/>
    <cellStyle name="超連結" xfId="103" builtinId="8" hidden="1"/>
    <cellStyle name="超連結" xfId="105" builtinId="8" hidden="1"/>
    <cellStyle name="超連結" xfId="107" builtinId="8" hidden="1"/>
    <cellStyle name="超連結" xfId="118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16520</xdr:colOff>
      <xdr:row>68</xdr:row>
      <xdr:rowOff>149563</xdr:rowOff>
    </xdr:from>
    <xdr:to>
      <xdr:col>6</xdr:col>
      <xdr:colOff>711695</xdr:colOff>
      <xdr:row>73</xdr:row>
      <xdr:rowOff>152559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00D5EF6-80D6-32C7-35F7-2EB136C44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1603" y="24419894"/>
          <a:ext cx="1828800" cy="1270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3108156</xdr:colOff>
      <xdr:row>0</xdr:row>
      <xdr:rowOff>200527</xdr:rowOff>
    </xdr:from>
    <xdr:to>
      <xdr:col>6</xdr:col>
      <xdr:colOff>924647</xdr:colOff>
      <xdr:row>2</xdr:row>
      <xdr:rowOff>89123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B65C679A-1246-139C-B8B9-D2C51E353140}"/>
            </a:ext>
          </a:extLst>
        </xdr:cNvPr>
        <xdr:cNvSpPr txBox="1">
          <a:spLocks noChangeAspect="1" noEditPoints="1" noChangeArrowheads="1" noChangeShapeType="1" noTextEdit="1"/>
        </xdr:cNvSpPr>
      </xdr:nvSpPr>
      <xdr:spPr bwMode="auto">
        <a:xfrm>
          <a:off x="3899121" y="200527"/>
          <a:ext cx="3397807" cy="11585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rot="0" vert="horz" wrap="square" lIns="0" tIns="0" rIns="0" bIns="0" anchor="t" anchorCtr="0" upright="1">
          <a:noAutofit/>
        </a:bodyPr>
        <a:lstStyle/>
        <a:p>
          <a:pPr algn="ctr"/>
          <a:r>
            <a:rPr lang="en-US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FlySheet Med-Informatics Co., Ltd                </a:t>
          </a:r>
        </a:p>
        <a:p>
          <a:r>
            <a:rPr lang="en-US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114</a:t>
          </a:r>
          <a:r>
            <a:rPr lang="zh-TW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臺北市內湖區內湖路一段</a:t>
          </a:r>
          <a:r>
            <a:rPr lang="en-US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91</a:t>
          </a:r>
          <a:r>
            <a:rPr lang="zh-TW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巷</a:t>
          </a:r>
          <a:r>
            <a:rPr lang="en-US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40</a:t>
          </a:r>
          <a:r>
            <a:rPr lang="zh-TW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號</a:t>
          </a:r>
          <a:r>
            <a:rPr lang="en-US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2</a:t>
          </a:r>
          <a:r>
            <a:rPr lang="zh-TW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樓</a:t>
          </a:r>
          <a:endParaRPr lang="zh-TW" sz="1200" kern="100">
            <a:effectLst/>
            <a:latin typeface="Times New Roman" panose="02020603050405020304" pitchFamily="18" charset="0"/>
            <a:ea typeface="新細明體" panose="02020500000000000000" pitchFamily="18" charset="-120"/>
            <a:cs typeface="新細明體" panose="02020500000000000000" pitchFamily="18" charset="-120"/>
          </a:endParaRPr>
        </a:p>
        <a:p>
          <a:r>
            <a:rPr lang="en-US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2F, No. 40, Lane. 91, Sec1, NeiHu .Rd, Taipei, Taiwan, R.O.C.</a:t>
          </a:r>
          <a:endParaRPr lang="zh-TW" sz="1200" kern="100">
            <a:effectLst/>
            <a:latin typeface="Times New Roman" panose="02020603050405020304" pitchFamily="18" charset="0"/>
            <a:ea typeface="新細明體" panose="02020500000000000000" pitchFamily="18" charset="-120"/>
            <a:cs typeface="新細明體" panose="02020500000000000000" pitchFamily="18" charset="-120"/>
          </a:endParaRPr>
        </a:p>
        <a:p>
          <a:r>
            <a:rPr lang="en-US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TEL: 886-2-2658-2223   FAX: 886-2-2658-2224</a:t>
          </a:r>
          <a:endParaRPr lang="zh-TW" sz="1200" kern="100">
            <a:effectLst/>
            <a:latin typeface="Times New Roman" panose="02020603050405020304" pitchFamily="18" charset="0"/>
            <a:ea typeface="新細明體" panose="02020500000000000000" pitchFamily="18" charset="-120"/>
            <a:cs typeface="新細明體" panose="02020500000000000000" pitchFamily="18" charset="-120"/>
          </a:endParaRPr>
        </a:p>
        <a:p>
          <a:r>
            <a:rPr lang="en-US" sz="1050" u="none" strike="noStrike" kern="100">
              <a:solidFill>
                <a:srgbClr val="0000FF"/>
              </a:solidFill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URL: http://www.flysheet.com.tw</a:t>
          </a:r>
          <a:endParaRPr lang="zh-TW" sz="1200" kern="100">
            <a:effectLst/>
            <a:latin typeface="Times New Roman" panose="02020603050405020304" pitchFamily="18" charset="0"/>
            <a:ea typeface="新細明體" panose="02020500000000000000" pitchFamily="18" charset="-120"/>
            <a:cs typeface="新細明體" panose="02020500000000000000" pitchFamily="18" charset="-120"/>
          </a:endParaRPr>
        </a:p>
        <a:p>
          <a:r>
            <a:rPr lang="zh-TW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統一編號：</a:t>
          </a:r>
          <a:r>
            <a:rPr lang="en-US" sz="1050" kern="100">
              <a:effectLst/>
              <a:latin typeface="Times New Roman" panose="02020603050405020304" pitchFamily="18" charset="0"/>
              <a:ea typeface="標楷體"/>
              <a:cs typeface="新細明體" panose="02020500000000000000" pitchFamily="18" charset="-120"/>
            </a:rPr>
            <a:t>24309020</a:t>
          </a:r>
          <a:endParaRPr lang="zh-TW" sz="1200" kern="100">
            <a:effectLst/>
            <a:latin typeface="Times New Roman" panose="02020603050405020304" pitchFamily="18" charset="0"/>
            <a:ea typeface="新細明體" panose="02020500000000000000" pitchFamily="18" charset="-120"/>
            <a:cs typeface="新細明體" panose="02020500000000000000" pitchFamily="18" charset="-120"/>
          </a:endParaRPr>
        </a:p>
        <a:p>
          <a:r>
            <a:rPr lang="en-US" sz="1200" kern="100">
              <a:effectLst/>
              <a:latin typeface="Times New Roman" panose="02020603050405020304" pitchFamily="18" charset="0"/>
              <a:ea typeface="新細明體" panose="02020500000000000000" pitchFamily="18" charset="-120"/>
              <a:cs typeface="新細明體" panose="02020500000000000000" pitchFamily="18" charset="-120"/>
            </a:rPr>
            <a:t> </a:t>
          </a:r>
          <a:endParaRPr lang="zh-TW" sz="1200" kern="100">
            <a:effectLst/>
            <a:latin typeface="Times New Roman" panose="02020603050405020304" pitchFamily="18" charset="0"/>
            <a:ea typeface="新細明體" panose="02020500000000000000" pitchFamily="18" charset="-120"/>
            <a:cs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181775</xdr:colOff>
      <xdr:row>0</xdr:row>
      <xdr:rowOff>219156</xdr:rowOff>
    </xdr:from>
    <xdr:to>
      <xdr:col>1</xdr:col>
      <xdr:colOff>2863070</xdr:colOff>
      <xdr:row>1</xdr:row>
      <xdr:rowOff>154395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E6E6D75C-F66A-3E9E-39A6-DB8638B9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775" y="219156"/>
          <a:ext cx="3472260" cy="54795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11140</xdr:colOff>
      <xdr:row>1</xdr:row>
      <xdr:rowOff>100325</xdr:rowOff>
    </xdr:from>
    <xdr:ext cx="3832281" cy="580159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913693E9-9A87-56D1-CA81-3E5B37F3C765}"/>
            </a:ext>
          </a:extLst>
        </xdr:cNvPr>
        <xdr:cNvSpPr txBox="1"/>
      </xdr:nvSpPr>
      <xdr:spPr>
        <a:xfrm>
          <a:off x="11140" y="713044"/>
          <a:ext cx="3832281" cy="580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2200">
              <a:solidFill>
                <a:schemeClr val="tx1"/>
              </a:solidFill>
              <a:effectLst/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rPr>
            <a:t>飛資得醫學資訊股份有限公司</a:t>
          </a:r>
        </a:p>
      </xdr:txBody>
    </xdr:sp>
    <xdr:clientData/>
  </xdr:oneCellAnchor>
  <xdr:twoCellAnchor editAs="oneCell">
    <xdr:from>
      <xdr:col>2</xdr:col>
      <xdr:colOff>1079500</xdr:colOff>
      <xdr:row>22</xdr:row>
      <xdr:rowOff>165100</xdr:rowOff>
    </xdr:from>
    <xdr:to>
      <xdr:col>6</xdr:col>
      <xdr:colOff>109855</xdr:colOff>
      <xdr:row>27</xdr:row>
      <xdr:rowOff>145204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A863DB75-3774-1197-5A41-772EAE1C6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4300" y="8089900"/>
          <a:ext cx="1900555" cy="1144270"/>
        </a:xfrm>
        <a:prstGeom prst="rect">
          <a:avLst/>
        </a:prstGeom>
        <a:noFill/>
      </xdr:spPr>
    </xdr:pic>
    <xdr:clientData/>
  </xdr:twoCellAnchor>
  <xdr:twoCellAnchor>
    <xdr:from>
      <xdr:col>9</xdr:col>
      <xdr:colOff>5080</xdr:colOff>
      <xdr:row>73</xdr:row>
      <xdr:rowOff>106045</xdr:rowOff>
    </xdr:from>
    <xdr:to>
      <xdr:col>11</xdr:col>
      <xdr:colOff>102870</xdr:colOff>
      <xdr:row>73</xdr:row>
      <xdr:rowOff>106045</xdr:rowOff>
    </xdr:to>
    <xdr:cxnSp macro="">
      <xdr:nvCxnSpPr>
        <xdr:cNvPr id="14" name="直線接點 13">
          <a:extLst>
            <a:ext uri="{FF2B5EF4-FFF2-40B4-BE49-F238E27FC236}">
              <a16:creationId xmlns:a16="http://schemas.microsoft.com/office/drawing/2014/main" id="{A4752F33-80DA-EA2B-07A0-470A4BF9A685}"/>
            </a:ext>
          </a:extLst>
        </xdr:cNvPr>
        <xdr:cNvCxnSpPr/>
      </xdr:nvCxnSpPr>
      <xdr:spPr>
        <a:xfrm>
          <a:off x="8895080" y="19333845"/>
          <a:ext cx="289179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2296160</xdr:colOff>
      <xdr:row>91</xdr:row>
      <xdr:rowOff>186690</xdr:rowOff>
    </xdr:from>
    <xdr:to>
      <xdr:col>4</xdr:col>
      <xdr:colOff>361950</xdr:colOff>
      <xdr:row>91</xdr:row>
      <xdr:rowOff>186690</xdr:rowOff>
    </xdr:to>
    <xdr:cxnSp macro="">
      <xdr:nvCxnSpPr>
        <xdr:cNvPr id="16" name="直線接點 15">
          <a:extLst>
            <a:ext uri="{FF2B5EF4-FFF2-40B4-BE49-F238E27FC236}">
              <a16:creationId xmlns:a16="http://schemas.microsoft.com/office/drawing/2014/main" id="{4152FD7A-528B-77B2-79B2-11D40C53F899}"/>
            </a:ext>
          </a:extLst>
        </xdr:cNvPr>
        <xdr:cNvCxnSpPr/>
      </xdr:nvCxnSpPr>
      <xdr:spPr>
        <a:xfrm>
          <a:off x="3083560" y="23529290"/>
          <a:ext cx="289179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1981200</xdr:colOff>
      <xdr:row>20</xdr:row>
      <xdr:rowOff>12700</xdr:rowOff>
    </xdr:from>
    <xdr:to>
      <xdr:col>4</xdr:col>
      <xdr:colOff>46990</xdr:colOff>
      <xdr:row>20</xdr:row>
      <xdr:rowOff>12700</xdr:rowOff>
    </xdr:to>
    <xdr:cxnSp macro="">
      <xdr:nvCxnSpPr>
        <xdr:cNvPr id="20" name="直線接點 19">
          <a:extLst>
            <a:ext uri="{FF2B5EF4-FFF2-40B4-BE49-F238E27FC236}">
              <a16:creationId xmlns:a16="http://schemas.microsoft.com/office/drawing/2014/main" id="{DD2492FE-AFED-EA4E-9C10-54C20E6D5B4F}"/>
            </a:ext>
          </a:extLst>
        </xdr:cNvPr>
        <xdr:cNvCxnSpPr/>
      </xdr:nvCxnSpPr>
      <xdr:spPr>
        <a:xfrm>
          <a:off x="2768600" y="7086600"/>
          <a:ext cx="289179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0</xdr:rowOff>
    </xdr:from>
    <xdr:to>
      <xdr:col>4</xdr:col>
      <xdr:colOff>635000</xdr:colOff>
      <xdr:row>1</xdr:row>
      <xdr:rowOff>481061</xdr:rowOff>
    </xdr:to>
    <xdr:pic>
      <xdr:nvPicPr>
        <xdr:cNvPr id="2" name="Picture 1" descr="clip_image00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0"/>
          <a:ext cx="6354233" cy="673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0</xdr:rowOff>
    </xdr:from>
    <xdr:to>
      <xdr:col>4</xdr:col>
      <xdr:colOff>723900</xdr:colOff>
      <xdr:row>1</xdr:row>
      <xdr:rowOff>481061</xdr:rowOff>
    </xdr:to>
    <xdr:pic>
      <xdr:nvPicPr>
        <xdr:cNvPr id="2" name="Picture 1" descr="clip_image00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0"/>
          <a:ext cx="6362700" cy="671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ilychen@flysheet.com.tw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8F256-56D9-452C-B565-0EB3F4CA4FF8}">
  <sheetPr>
    <tabColor theme="0"/>
    <pageSetUpPr fitToPage="1"/>
  </sheetPr>
  <dimension ref="A1:S31"/>
  <sheetViews>
    <sheetView tabSelected="1" view="pageBreakPreview" zoomScale="125" zoomScaleNormal="85" zoomScaleSheetLayoutView="85" workbookViewId="0">
      <selection activeCell="B24" sqref="B24"/>
    </sheetView>
  </sheetViews>
  <sheetFormatPr baseColWidth="10" defaultColWidth="8.83203125" defaultRowHeight="18"/>
  <cols>
    <col min="1" max="1" width="10.33203125" style="91" customWidth="1"/>
    <col min="2" max="2" width="43.6640625" style="92" customWidth="1"/>
    <col min="3" max="3" width="14.83203125" style="92" customWidth="1"/>
    <col min="4" max="4" width="8" style="92" customWidth="1"/>
    <col min="5" max="5" width="9.33203125" style="91" customWidth="1"/>
    <col min="6" max="6" width="5.5" style="91" customWidth="1"/>
    <col min="7" max="7" width="17.1640625" style="91" customWidth="1"/>
    <col min="8" max="8" width="8.83203125" style="91"/>
    <col min="9" max="9" width="6.1640625" style="91" bestFit="1" customWidth="1"/>
    <col min="10" max="10" width="16" style="91" customWidth="1"/>
    <col min="11" max="11" width="20.6640625" style="91" customWidth="1"/>
    <col min="12" max="12" width="14.6640625" style="91" customWidth="1"/>
    <col min="13" max="13" width="17.6640625" style="91" customWidth="1"/>
    <col min="14" max="14" width="15.33203125" style="91" bestFit="1" customWidth="1"/>
    <col min="15" max="15" width="12.1640625" style="91" customWidth="1"/>
    <col min="16" max="16" width="9.1640625" style="91" bestFit="1" customWidth="1"/>
    <col min="17" max="17" width="9.33203125" style="91" bestFit="1" customWidth="1"/>
    <col min="18" max="18" width="9.1640625" style="91" bestFit="1" customWidth="1"/>
    <col min="19" max="19" width="8" style="91" customWidth="1"/>
    <col min="20" max="20" width="13.1640625" style="91" customWidth="1"/>
    <col min="21" max="16384" width="8.83203125" style="91"/>
  </cols>
  <sheetData>
    <row r="1" spans="1:14" ht="48" customHeight="1"/>
    <row r="2" spans="1:14" ht="52.5" customHeight="1"/>
    <row r="3" spans="1:14" ht="14" customHeight="1"/>
    <row r="4" spans="1:14" ht="23">
      <c r="A4" s="126" t="s">
        <v>152</v>
      </c>
      <c r="B4" s="126"/>
      <c r="C4" s="126"/>
      <c r="D4" s="126"/>
      <c r="E4" s="126"/>
      <c r="F4" s="126"/>
      <c r="G4" s="126"/>
    </row>
    <row r="5" spans="1:14" ht="21" customHeight="1">
      <c r="A5" s="101" t="s">
        <v>155</v>
      </c>
      <c r="B5" s="102" t="inlineStr">
        <is>
          <t xml:space="preserve">{{CLIENT_NAME}}</t>
        </is>
      </c>
      <c r="C5" s="102"/>
      <c r="D5" s="102"/>
      <c r="E5" s="103" t="s">
        <v>153</v>
      </c>
      <c r="F5" s="130" t="inlineStr">
        <is>
          <t xml:space="preserve">{{CLIENT_TEL}}</t>
        </is>
      </c>
      <c r="G5" s="130"/>
    </row>
    <row r="6" spans="1:14" ht="21" customHeight="1">
      <c r="A6" s="101" t="s">
        <v>141</v>
      </c>
      <c r="B6" s="102" t="inlineStr">
        <is>
          <t xml:space="preserve">{{CONTACT}}</t>
        </is>
      </c>
      <c r="C6" s="102"/>
      <c r="D6" s="102"/>
      <c r="E6" s="103" t="s">
        <v>159</v>
      </c>
      <c r="F6" s="130"/>
      <c r="G6" s="130"/>
    </row>
    <row r="7" spans="1:14" ht="21" customHeight="1">
      <c r="A7" s="101" t="s">
        <v>142</v>
      </c>
      <c r="B7" s="120" t="inlineStr">
        <is>
          <t xml:space="preserve">{{QUOTE_NO}}</t>
        </is>
      </c>
      <c r="C7" s="120"/>
      <c r="D7" s="120"/>
      <c r="E7" s="103"/>
    </row>
    <row r="8" spans="1:14" ht="21" customHeight="1">
      <c r="A8" s="101" t="s">
        <v>154</v>
      </c>
      <c r="B8" s="121" t="inlineStr">
        <is>
          <t xml:space="preserve">{{QUOTE_DATE}}</t>
        </is>
      </c>
      <c r="C8" s="121"/>
      <c r="D8" s="121"/>
      <c r="E8" s="103"/>
      <c r="F8" s="130"/>
      <c r="G8" s="130"/>
    </row>
    <row r="9" spans="1:14" ht="21" customHeight="1">
      <c r="A9" s="101" t="s">
        <v>156</v>
      </c>
      <c r="B9" s="121" t="inlineStr">
        <is>
          <t xml:space="preserve">{{VALID_DATE}}</t>
        </is>
      </c>
      <c r="C9" s="121"/>
      <c r="D9" s="121"/>
      <c r="E9" s="103"/>
      <c r="F9" s="131"/>
      <c r="G9" s="131"/>
    </row>
    <row r="10" spans="1:14" ht="21" customHeight="1">
      <c r="A10" s="101" t="s">
        <v>157</v>
      </c>
      <c r="B10" s="121" t="s">
        <v>174</v>
      </c>
      <c r="C10" s="121"/>
      <c r="D10" s="121"/>
      <c r="E10" s="103" t="s">
        <v>153</v>
      </c>
      <c r="F10" s="130" t="s">
        <v>176</v>
      </c>
      <c r="G10" s="130"/>
    </row>
    <row r="11" spans="1:14" ht="21" customHeight="1" thickBot="1">
      <c r="A11" s="101" t="s">
        <v>158</v>
      </c>
      <c r="B11" s="129" t="s">
        <v>175</v>
      </c>
      <c r="C11" s="121"/>
      <c r="D11" s="121"/>
      <c r="E11" s="103" t="s">
        <v>159</v>
      </c>
      <c r="F11" s="130"/>
      <c r="G11" s="130"/>
    </row>
    <row r="12" spans="1:14" ht="20" customHeight="1">
      <c r="A12" s="107" t="s">
        <v>143</v>
      </c>
      <c r="B12" s="123" t="s">
        <v>160</v>
      </c>
      <c r="C12" s="123"/>
      <c r="D12" s="107" t="s">
        <v>149</v>
      </c>
      <c r="E12" s="107" t="s">
        <v>150</v>
      </c>
      <c r="F12" s="132" t="s">
        <v>147</v>
      </c>
      <c r="G12" s="132"/>
    </row>
    <row r="13" spans="1:14">
      <c r="A13" s="111">
        <v>1</v>
      </c>
      <c r="B13" s="122" t="inlineStr">
        <is>
          <t xml:space="preserve">{{PRODUCT}}</t>
        </is>
      </c>
      <c r="C13" s="122"/>
      <c r="D13" s="112"/>
      <c r="E13" s="113"/>
      <c r="F13" s="133">
        <v>999999901</v>
      </c>
      <c r="G13" s="133"/>
    </row>
    <row r="14" spans="1:14" s="92" customFormat="1" ht="43" customHeight="1">
      <c r="A14" s="106"/>
      <c r="B14" s="134" t="inlineStr">
        <is>
          <t xml:space="preserve">訂期：{{PERIOD}}</t>
        </is>
      </c>
      <c r="C14" s="134"/>
      <c r="D14" s="104"/>
      <c r="E14" s="105"/>
      <c r="F14" s="119"/>
      <c r="G14" s="119"/>
    </row>
    <row r="15" spans="1:14" s="92" customFormat="1" ht="21" customHeight="1">
      <c r="A15" s="106"/>
      <c r="B15" s="134"/>
      <c r="C15" s="134"/>
      <c r="D15" s="104"/>
      <c r="E15" s="105"/>
      <c r="F15" s="119"/>
      <c r="G15" s="119"/>
    </row>
    <row r="16" spans="1:14" s="92" customFormat="1" ht="21" customHeight="1">
      <c r="A16" s="106"/>
      <c r="B16" s="134"/>
      <c r="C16" s="134"/>
      <c r="D16" s="104"/>
      <c r="E16" s="105"/>
      <c r="F16" s="119"/>
      <c r="G16" s="119"/>
    </row>
    <row r="17" spans="1:19" ht="25" customHeight="1" thickBot="1">
      <c r="A17" s="108"/>
      <c r="B17" s="124"/>
      <c r="C17" s="124"/>
      <c r="D17" s="109"/>
      <c r="E17" s="110"/>
      <c r="F17" s="118"/>
      <c r="G17" s="118"/>
    </row>
    <row r="18" spans="1:19" ht="24" customHeight="1">
      <c r="A18" s="127" t="s">
        <v>145</v>
      </c>
      <c r="B18" s="127"/>
      <c r="C18" s="127"/>
      <c r="D18" s="127"/>
      <c r="E18" s="128"/>
      <c r="F18" s="119">
        <f>SUM(F13:G17)</f>
        <v>25000</v>
      </c>
      <c r="G18" s="119"/>
    </row>
    <row r="20" spans="1:19" ht="19">
      <c r="B20" s="116" t="s">
        <v>161</v>
      </c>
      <c r="C20" s="117">
        <f>F18</f>
        <v>25000</v>
      </c>
      <c r="D20" s="115" t="s">
        <v>162</v>
      </c>
    </row>
    <row r="21" spans="1:19">
      <c r="B21" s="114"/>
      <c r="C21" s="114"/>
    </row>
    <row r="22" spans="1:19">
      <c r="A22" s="93" t="s">
        <v>144</v>
      </c>
    </row>
    <row r="23" spans="1:19" ht="19">
      <c r="A23" s="91">
        <v>1</v>
      </c>
      <c r="B23" s="100" t="inlineStr">
        <is>
          <t xml:space="preserve">{{NOTE1}}</t>
        </is>
      </c>
      <c r="C23" s="100"/>
      <c r="D23" s="100"/>
    </row>
    <row r="24" spans="1:19" ht="19">
      <c r="A24" s="91" t="inlineStr">
        <is>
          <t xml:space="preserve">{{NOTE2_NUM}}</t>
        </is>
      </c>
      <c r="B24" s="100" t="inlineStr">
        <is>
          <t xml:space="preserve">{{NOTE2}}</t>
        </is>
      </c>
      <c r="C24" s="100"/>
      <c r="D24" s="100"/>
    </row>
    <row r="25" spans="1:19">
      <c r="B25" s="100"/>
      <c r="C25" s="100"/>
      <c r="D25" s="100"/>
    </row>
    <row r="26" spans="1:19">
      <c r="B26" s="91"/>
      <c r="C26" s="91"/>
      <c r="D26" s="100"/>
    </row>
    <row r="27" spans="1:19">
      <c r="B27" s="100"/>
      <c r="C27" s="100"/>
      <c r="D27" s="100"/>
    </row>
    <row r="28" spans="1:19" s="99" customFormat="1">
      <c r="A28" s="91"/>
      <c r="B28" s="92"/>
      <c r="C28" s="92"/>
      <c r="D28" s="92"/>
      <c r="E28" s="125"/>
      <c r="F28" s="125"/>
      <c r="G28" s="125"/>
    </row>
    <row r="29" spans="1:19" s="99" customFormat="1">
      <c r="A29" s="91"/>
      <c r="B29" s="92"/>
      <c r="C29" s="92"/>
      <c r="D29" s="92"/>
      <c r="E29" s="125"/>
      <c r="F29" s="125"/>
      <c r="G29" s="125"/>
    </row>
    <row r="30" spans="1:19" s="99" customFormat="1">
      <c r="A30" s="91"/>
      <c r="B30" s="92"/>
      <c r="C30" s="92"/>
      <c r="D30" s="92"/>
      <c r="E30" s="125"/>
      <c r="F30" s="125"/>
      <c r="G30" s="125"/>
    </row>
    <row r="31" spans="1:19" s="99" customFormat="1">
      <c r="A31" s="91"/>
      <c r="B31" s="92"/>
      <c r="C31" s="92"/>
      <c r="D31" s="92"/>
      <c r="E31" s="91"/>
      <c r="F31" s="91"/>
      <c r="G31" s="91"/>
    </row>
  </sheetData>
  <mergeCells count="29">
    <mergeCell ref="E30:G30"/>
    <mergeCell ref="A4:G4"/>
    <mergeCell ref="A18:E18"/>
    <mergeCell ref="E28:G28"/>
    <mergeCell ref="E29:G29"/>
    <mergeCell ref="B10:D10"/>
    <mergeCell ref="B11:D11"/>
    <mergeCell ref="F10:G10"/>
    <mergeCell ref="F9:G9"/>
    <mergeCell ref="F8:G8"/>
    <mergeCell ref="F11:G11"/>
    <mergeCell ref="F5:G5"/>
    <mergeCell ref="F6:G6"/>
    <mergeCell ref="F12:G12"/>
    <mergeCell ref="F13:G13"/>
    <mergeCell ref="F16:G16"/>
    <mergeCell ref="F17:G17"/>
    <mergeCell ref="F18:G18"/>
    <mergeCell ref="B7:D7"/>
    <mergeCell ref="B8:D8"/>
    <mergeCell ref="B9:D9"/>
    <mergeCell ref="B13:C13"/>
    <mergeCell ref="B12:C12"/>
    <mergeCell ref="B17:C17"/>
    <mergeCell ref="B14:C14"/>
    <mergeCell ref="B15:C15"/>
    <mergeCell ref="B16:C16"/>
    <mergeCell ref="F14:G14"/>
    <mergeCell ref="F15:G15"/>
  </mergeCells>
  <phoneticPr fontId="19" type="noConversion"/>
  <hyperlinks>
    <hyperlink ref="B11" r:id="rId1" xr:uid="{AE8BBA1D-2E3B-4E31-85DC-54CA10D318DF}"/>
  </hyperlinks>
  <printOptions horizontalCentered="1"/>
  <pageMargins left="0.35433070866141736" right="0.31496062992125984" top="0.6692913385826772" bottom="0.35433070866141736" header="0.19685039370078741" footer="0.15748031496062992"/>
  <pageSetup paperSize="9" scale="83" fitToHeight="0" orientation="portrait" r:id="rId2"/>
  <headerFooter alignWithMargins="0">
    <oddHeader>&amp;C
&amp;G</oddHead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35"/>
  <sheetViews>
    <sheetView zoomScale="132" workbookViewId="0">
      <selection activeCell="B19" sqref="B19"/>
    </sheetView>
  </sheetViews>
  <sheetFormatPr baseColWidth="10" defaultColWidth="11" defaultRowHeight="15"/>
  <cols>
    <col min="1" max="1" width="8" customWidth="1"/>
    <col min="2" max="2" width="47" customWidth="1"/>
    <col min="3" max="3" width="10.5" customWidth="1"/>
    <col min="4" max="4" width="11" bestFit="1" customWidth="1"/>
    <col min="5" max="5" width="9.6640625" customWidth="1"/>
  </cols>
  <sheetData/>
  <mergeCells count="12">
    <mergeCell ref="A3:D3"/>
    <mergeCell ref="D7:D14"/>
    <mergeCell ref="E7:E14"/>
    <mergeCell ref="E24:E33"/>
    <mergeCell ref="A34:C34"/>
    <mergeCell ref="D4:E4"/>
    <mergeCell ref="D5:E5"/>
    <mergeCell ref="E16:E23"/>
    <mergeCell ref="D16:D23"/>
    <mergeCell ref="C16:C23"/>
    <mergeCell ref="C24:C33"/>
    <mergeCell ref="D24:D33"/>
  </mergeCells>
  <phoneticPr fontId="5" type="noConversion"/>
  <pageMargins left="0.5" right="0.5" top="0.5" bottom="0.5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P26"/>
  <sheetViews>
    <sheetView zoomScale="150" workbookViewId="0">
      <selection sqref="A1:K26"/>
    </sheetView>
  </sheetViews>
  <sheetFormatPr baseColWidth="10" defaultColWidth="11" defaultRowHeight="15"/>
  <cols>
    <col min="1" max="1" width="5.5" bestFit="1" customWidth="1"/>
    <col min="2" max="2" width="54.1640625" customWidth="1"/>
    <col min="3" max="3" width="5.5" bestFit="1" customWidth="1"/>
    <col min="4" max="9" width="5.5" customWidth="1"/>
    <col min="11" max="11" width="5.5" bestFit="1" customWidth="1"/>
    <col min="16" max="16" width="11.33203125" bestFit="1" customWidth="1"/>
  </cols>
  <sheetData/>
  <mergeCells count="15">
    <mergeCell ref="K4:K5"/>
    <mergeCell ref="K6:K13"/>
    <mergeCell ref="K15:K17"/>
    <mergeCell ref="A4:A5"/>
    <mergeCell ref="B4:B5"/>
    <mergeCell ref="C4:C5"/>
    <mergeCell ref="F4:G4"/>
    <mergeCell ref="H4:I4"/>
    <mergeCell ref="J4:J5"/>
    <mergeCell ref="D4:E4"/>
    <mergeCell ref="M6:M13"/>
    <mergeCell ref="M15:M17"/>
    <mergeCell ref="M18:M25"/>
    <mergeCell ref="K18:K25"/>
    <mergeCell ref="C26:I26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35"/>
  <sheetViews>
    <sheetView topLeftCell="A2" workbookViewId="0">
      <selection sqref="A1:K26"/>
    </sheetView>
  </sheetViews>
  <sheetFormatPr baseColWidth="10" defaultColWidth="11" defaultRowHeight="15"/>
  <cols>
    <col min="1" max="1" width="8" customWidth="1"/>
    <col min="2" max="2" width="47" customWidth="1"/>
    <col min="3" max="3" width="10.5" customWidth="1"/>
    <col min="4" max="4" width="11" bestFit="1" customWidth="1"/>
    <col min="5" max="5" width="9.6640625" customWidth="1"/>
    <col min="7" max="7" width="13.83203125" bestFit="1" customWidth="1"/>
  </cols>
  <sheetData/>
  <mergeCells count="12">
    <mergeCell ref="C24:C33"/>
    <mergeCell ref="D24:D33"/>
    <mergeCell ref="E24:E33"/>
    <mergeCell ref="A34:C34"/>
    <mergeCell ref="A3:D3"/>
    <mergeCell ref="D4:E4"/>
    <mergeCell ref="D5:E5"/>
    <mergeCell ref="D7:D14"/>
    <mergeCell ref="E7:E14"/>
    <mergeCell ref="C16:C23"/>
    <mergeCell ref="D16:D23"/>
    <mergeCell ref="E16:E23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9"/>
  <sheetViews>
    <sheetView zoomScale="150" workbookViewId="0">
      <selection sqref="A1:K26"/>
    </sheetView>
  </sheetViews>
  <sheetFormatPr baseColWidth="10" defaultColWidth="11" defaultRowHeight="15"/>
  <cols>
    <col min="2" max="2" width="48.33203125" customWidth="1"/>
    <col min="12" max="12" width="11.5" bestFit="1" customWidth="1"/>
  </cols>
  <sheetData/>
  <mergeCells count="47">
    <mergeCell ref="C39:I39"/>
    <mergeCell ref="J35:J38"/>
    <mergeCell ref="I35:I38"/>
    <mergeCell ref="H35:H38"/>
    <mergeCell ref="G35:G38"/>
    <mergeCell ref="F35:F38"/>
    <mergeCell ref="E35:E38"/>
    <mergeCell ref="D35:D38"/>
    <mergeCell ref="C35:C38"/>
    <mergeCell ref="A35:A38"/>
    <mergeCell ref="J25:J29"/>
    <mergeCell ref="I25:I29"/>
    <mergeCell ref="H25:H29"/>
    <mergeCell ref="G25:G29"/>
    <mergeCell ref="F25:F29"/>
    <mergeCell ref="E25:E29"/>
    <mergeCell ref="D25:D29"/>
    <mergeCell ref="C25:C29"/>
    <mergeCell ref="A25:A29"/>
    <mergeCell ref="K24:K38"/>
    <mergeCell ref="J17:J22"/>
    <mergeCell ref="I17:I22"/>
    <mergeCell ref="H17:H22"/>
    <mergeCell ref="G17:G22"/>
    <mergeCell ref="J10:J14"/>
    <mergeCell ref="I10:I14"/>
    <mergeCell ref="H10:H14"/>
    <mergeCell ref="G10:G14"/>
    <mergeCell ref="F10:F14"/>
    <mergeCell ref="E17:E22"/>
    <mergeCell ref="D17:D22"/>
    <mergeCell ref="C17:C22"/>
    <mergeCell ref="A17:A22"/>
    <mergeCell ref="K16:K23"/>
    <mergeCell ref="F17:F22"/>
    <mergeCell ref="K1:K2"/>
    <mergeCell ref="J1:J2"/>
    <mergeCell ref="H1:I1"/>
    <mergeCell ref="F1:G1"/>
    <mergeCell ref="D1:E1"/>
    <mergeCell ref="B1:B2"/>
    <mergeCell ref="A1:A2"/>
    <mergeCell ref="E10:E14"/>
    <mergeCell ref="D10:D14"/>
    <mergeCell ref="C10:C14"/>
    <mergeCell ref="A10:A14"/>
    <mergeCell ref="C1:C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5"/>
  <sheetViews>
    <sheetView workbookViewId="0">
      <selection sqref="A1:K26"/>
    </sheetView>
  </sheetViews>
  <sheetFormatPr baseColWidth="10" defaultColWidth="11" defaultRowHeight="15"/>
  <sheetData/>
  <mergeCells count="4">
    <mergeCell ref="A7:A11"/>
    <mergeCell ref="A14:A19"/>
    <mergeCell ref="A22:A26"/>
    <mergeCell ref="A32:A35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"/>
  <sheetViews>
    <sheetView workbookViewId="0">
      <selection sqref="A1:K26"/>
    </sheetView>
  </sheetViews>
  <sheetFormatPr baseColWidth="10" defaultColWidth="11" defaultRowHeight="15"/>
  <sheetData/>
  <mergeCells count="16">
    <mergeCell ref="A13:H13"/>
    <mergeCell ref="A6:A12"/>
    <mergeCell ref="G3:G4"/>
    <mergeCell ref="F3:F4"/>
    <mergeCell ref="E3:E4"/>
    <mergeCell ref="D3:D4"/>
    <mergeCell ref="C3:C4"/>
    <mergeCell ref="I1:I4"/>
    <mergeCell ref="B1:B4"/>
    <mergeCell ref="A1:A4"/>
    <mergeCell ref="C1:D1"/>
    <mergeCell ref="C2:D2"/>
    <mergeCell ref="E1:F1"/>
    <mergeCell ref="E2:F2"/>
    <mergeCell ref="G1:H1"/>
    <mergeCell ref="G2:H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1</vt:i4>
      </vt:variant>
    </vt:vector>
  </HeadingPairs>
  <TitlesOfParts>
    <vt:vector size="8" baseType="lpstr">
      <vt:lpstr>2026報價</vt:lpstr>
      <vt:lpstr>1060119</vt:lpstr>
      <vt:lpstr>計算</vt:lpstr>
      <vt:lpstr>決標後主項</vt:lpstr>
      <vt:lpstr>決標後細項</vt:lpstr>
      <vt:lpstr>驗證</vt:lpstr>
      <vt:lpstr>EIP參考</vt:lpstr>
      <vt:lpstr>'2026報價'!Print_Area</vt:lpstr>
    </vt:vector>
  </TitlesOfParts>
  <Company>Andy's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Yen Chih</dc:creator>
  <cp:lastModifiedBy>品伃 陳</cp:lastModifiedBy>
  <cp:lastPrinted>2026-08-07T00:45:23Z</cp:lastPrinted>
  <dcterms:created xsi:type="dcterms:W3CDTF">2015-11-09T08:56:18Z</dcterms:created>
  <dcterms:modified xsi:type="dcterms:W3CDTF">2026-08-09T09:21:04Z</dcterms:modified>
</cp:coreProperties>
</file>