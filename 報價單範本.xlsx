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20" yWindow="760" windowWidth="22140" windowHeight="16420" tabRatio="500" firstSheet="0" activeTab="0" autoFilterDateGrouping="1"/>
  </bookViews>
  <sheets>
    <sheet name="2026報價" sheetId="1" state="visible" r:id="rId1"/>
  </sheets>
  <definedNames>
    <definedName name="_xlnm.Print_Area" localSheetId="0">'2026報價'!$A$1:$G$31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&quot;$&quot;#,##0_);[Red]\(&quot;$&quot;#,##0\)"/>
    <numFmt numFmtId="165" formatCode="&quot;$&quot;#,##0"/>
    <numFmt numFmtId="166" formatCode="&quot;$&quot;#,##0.00_);[Red]\(&quot;$&quot;#,##0.00\)"/>
    <numFmt numFmtId="167" formatCode="_(&quot;$&quot;* #,##0_);_(&quot;$&quot;* \(#,##0\);_(&quot;$&quot;* &quot;-&quot;??_);_(@_)"/>
    <numFmt numFmtId="168" formatCode="_-* #,##0_-;\-* #,##0_-;_-* &quot;-&quot;_-;_-@_-"/>
    <numFmt numFmtId="169" formatCode="[DBNum2][$-404]General"/>
    <numFmt numFmtId="170" formatCode="_-&quot;$&quot;* #,##0.00_-;\-&quot;$&quot;* #,##0.00_-;_-&quot;$&quot;* &quot;-&quot;??_-;_-@_-"/>
  </numFmts>
  <fonts count="32">
    <font>
      <name val="新細明體"/>
      <charset val="136"/>
      <sz val="12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3"/>
      <sz val="12"/>
    </font>
    <font>
      <name val="標楷體"/>
      <charset val="136"/>
      <family val="3"/>
      <sz val="12"/>
    </font>
    <font>
      <name val="新細明體"/>
      <charset val="136"/>
      <family val="3"/>
      <sz val="9"/>
    </font>
    <font>
      <name val="標楷體"/>
      <charset val="136"/>
      <family val="3"/>
      <b val="1"/>
      <sz val="12"/>
    </font>
    <font>
      <name val="新細明體"/>
      <charset val="136"/>
      <family val="3"/>
      <color theme="11"/>
      <sz val="12"/>
      <u val="single"/>
    </font>
    <font>
      <name val="標楷體"/>
      <charset val="136"/>
      <family val="4"/>
      <b val="1"/>
      <sz val="12"/>
    </font>
    <font>
      <name val="新細明體"/>
      <charset val="136"/>
      <family val="3"/>
      <color theme="10"/>
      <sz val="12"/>
      <u val="single"/>
    </font>
    <font>
      <name val="新細明體"/>
      <charset val="136"/>
      <family val="3"/>
      <sz val="12"/>
      <scheme val="minor"/>
    </font>
    <font>
      <name val="Copperplate Gothic Bold"/>
      <family val="2"/>
      <sz val="18"/>
    </font>
    <font>
      <name val="Times New Roman"/>
      <family val="1"/>
      <sz val="12"/>
    </font>
    <font>
      <name val="標楷體"/>
      <charset val="136"/>
      <family val="3"/>
      <b val="1"/>
      <color rgb="FF000000"/>
      <sz val="14"/>
    </font>
    <font>
      <name val="標楷體"/>
      <charset val="136"/>
      <family val="3"/>
      <b val="1"/>
      <sz val="14"/>
    </font>
    <font>
      <name val="Times New Roman"/>
      <family val="1"/>
      <b val="1"/>
      <sz val="14"/>
    </font>
    <font>
      <name val="標楷體"/>
      <charset val="136"/>
      <family val="3"/>
      <sz val="14"/>
    </font>
    <font>
      <name val="Times New Roman"/>
      <family val="1"/>
      <sz val="14"/>
    </font>
    <font>
      <name val="新細明體"/>
      <charset val="136"/>
      <family val="3"/>
      <b val="1"/>
      <sz val="12"/>
    </font>
    <font>
      <name val="新細明體"/>
      <charset val="136"/>
      <family val="1"/>
      <sz val="9"/>
    </font>
    <font>
      <name val="新細明體"/>
      <charset val="136"/>
      <family val="1"/>
      <sz val="12"/>
    </font>
    <font>
      <name val="新細明體"/>
      <charset val="136"/>
      <family val="1"/>
      <sz val="12"/>
    </font>
    <font>
      <name val="微軟正黑體"/>
      <charset val="136"/>
      <family val="2"/>
      <sz val="12"/>
    </font>
    <font>
      <name val="微軟正黑體"/>
      <charset val="136"/>
      <family val="2"/>
      <color rgb="FF000000"/>
      <sz val="12"/>
    </font>
    <font>
      <name val="微軟正黑體"/>
      <charset val="136"/>
      <family val="2"/>
      <sz val="10"/>
    </font>
    <font>
      <name val="微軟正黑體"/>
      <charset val="136"/>
      <family val="2"/>
      <sz val="16"/>
    </font>
    <font>
      <name val="微軟正黑體"/>
      <charset val="136"/>
      <family val="2"/>
      <sz val="11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333333"/>
      <sz val="12"/>
    </font>
    <font>
      <name val="微軟正黑體"/>
      <charset val="136"/>
      <family val="2"/>
      <b val="1"/>
      <sz val="12"/>
      <u val="single"/>
    </font>
    <font>
      <name val="微軟正黑體"/>
      <charset val="136"/>
      <family val="2"/>
      <b val="1"/>
      <sz val="12"/>
    </font>
    <font>
      <name val="新細明體"/>
      <charset val="136"/>
      <family val="1"/>
      <color theme="10"/>
      <sz val="12"/>
      <u val="single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</fills>
  <borders count="65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/>
      <diagonal/>
    </border>
    <border>
      <left style="double">
        <color auto="1"/>
      </left>
      <right style="medium">
        <color auto="1"/>
      </right>
      <top/>
      <bottom/>
      <diagonal/>
    </border>
    <border>
      <left style="double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medium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/>
      <diagonal/>
    </border>
    <border>
      <left style="medium">
        <color auto="1"/>
      </left>
      <right style="double">
        <color auto="1"/>
      </right>
      <top/>
      <bottom/>
      <diagonal/>
    </border>
    <border>
      <left style="medium">
        <color auto="1"/>
      </left>
      <right style="double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double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/>
      <diagonal/>
    </border>
  </borders>
  <cellStyleXfs count="15">
    <xf numFmtId="0" fontId="0" fillId="0" borderId="0"/>
    <xf numFmtId="0" fontId="3" fillId="0" borderId="0" applyAlignment="1">
      <alignment vertical="center"/>
    </xf>
    <xf numFmtId="0" fontId="3" fillId="0" borderId="0"/>
    <xf numFmtId="0" fontId="3" fillId="0" borderId="0" applyAlignment="1">
      <alignment vertical="center"/>
    </xf>
    <xf numFmtId="0" fontId="7" fillId="0" borderId="0"/>
    <xf numFmtId="0" fontId="9" fillId="0" borderId="0"/>
    <xf numFmtId="0" fontId="2" fillId="0" borderId="0" applyAlignment="1">
      <alignment vertical="center"/>
    </xf>
    <xf numFmtId="0" fontId="2" fillId="0" borderId="0" applyAlignment="1">
      <alignment vertical="center"/>
    </xf>
    <xf numFmtId="170" fontId="21" fillId="0" borderId="0"/>
    <xf numFmtId="9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168" fontId="21" fillId="0" borderId="0" applyAlignment="1">
      <alignment vertical="center"/>
    </xf>
    <xf numFmtId="0" fontId="21" fillId="0" borderId="0" applyAlignment="1">
      <alignment vertical="center"/>
    </xf>
    <xf numFmtId="44" fontId="21" fillId="0" borderId="0" applyAlignment="1">
      <alignment vertical="center"/>
    </xf>
  </cellStyleXfs>
  <cellXfs count="233">
    <xf numFmtId="0" fontId="0" fillId="0" borderId="0" pivotButton="0" quotePrefix="0" xfId="0"/>
    <xf numFmtId="0" fontId="4" fillId="0" borderId="3" applyAlignment="1" pivotButton="0" quotePrefix="0" xfId="0">
      <alignment vertical="center"/>
    </xf>
    <xf numFmtId="0" fontId="4" fillId="0" borderId="3" applyAlignment="1" pivotButton="0" quotePrefix="0" xfId="0">
      <alignment vertical="center" wrapText="1"/>
    </xf>
    <xf numFmtId="0" fontId="4" fillId="0" borderId="3" applyAlignment="1" pivotButton="0" quotePrefix="0" xfId="1">
      <alignment horizontal="center" vertical="center"/>
    </xf>
    <xf numFmtId="164" fontId="4" fillId="0" borderId="3" applyAlignment="1" pivotButton="0" quotePrefix="0" xfId="0">
      <alignment vertical="center"/>
    </xf>
    <xf numFmtId="164" fontId="6" fillId="0" borderId="14" applyAlignment="1" pivotButton="0" quotePrefix="0" xfId="1">
      <alignment horizontal="right" vertical="center"/>
    </xf>
    <xf numFmtId="0" fontId="4" fillId="0" borderId="1" applyAlignment="1" pivotButton="0" quotePrefix="0" xfId="1">
      <alignment horizontal="center" vertical="center"/>
    </xf>
    <xf numFmtId="0" fontId="4" fillId="0" borderId="2" applyAlignment="1" pivotButton="0" quotePrefix="0" xfId="1">
      <alignment horizontal="center" vertical="center"/>
    </xf>
    <xf numFmtId="0" fontId="4" fillId="0" borderId="4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1" applyAlignment="1" pivotButton="0" quotePrefix="1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164" fontId="4" fillId="0" borderId="4" applyAlignment="1" pivotButton="0" quotePrefix="0" xfId="0">
      <alignment vertical="center"/>
    </xf>
    <xf numFmtId="0" fontId="8" fillId="0" borderId="1" applyAlignment="1" pivotButton="0" quotePrefix="0" xfId="0">
      <alignment horizontal="right" vertical="center"/>
    </xf>
    <xf numFmtId="0" fontId="6" fillId="0" borderId="3" applyAlignment="1" pivotButton="0" quotePrefix="0" xfId="0">
      <alignment vertical="center"/>
    </xf>
    <xf numFmtId="165" fontId="4" fillId="0" borderId="15" applyAlignment="1" pivotButton="0" quotePrefix="0" xfId="1">
      <alignment vertical="center"/>
    </xf>
    <xf numFmtId="49" fontId="4" fillId="0" borderId="3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4" fillId="0" borderId="16" applyAlignment="1" pivotButton="0" quotePrefix="0" xfId="0">
      <alignment horizontal="right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right" vertical="center"/>
    </xf>
    <xf numFmtId="164" fontId="0" fillId="0" borderId="0" pivotButton="0" quotePrefix="0" xfId="0"/>
    <xf numFmtId="0" fontId="10" fillId="0" borderId="20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10" fillId="0" borderId="22" applyAlignment="1" pivotButton="0" quotePrefix="0" xfId="0">
      <alignment vertical="center"/>
    </xf>
    <xf numFmtId="0" fontId="10" fillId="0" borderId="1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14" fillId="0" borderId="17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0" fontId="16" fillId="0" borderId="25" applyAlignment="1" pivotButton="0" quotePrefix="0" xfId="0">
      <alignment horizontal="justify" vertical="center" wrapText="1"/>
    </xf>
    <xf numFmtId="0" fontId="16" fillId="0" borderId="27" applyAlignment="1" pivotButton="0" quotePrefix="0" xfId="0">
      <alignment vertical="center" wrapText="1"/>
    </xf>
    <xf numFmtId="0" fontId="17" fillId="2" borderId="27" applyAlignment="1" pivotButton="0" quotePrefix="0" xfId="0">
      <alignment horizontal="center" vertical="center" wrapText="1"/>
    </xf>
    <xf numFmtId="164" fontId="17" fillId="2" borderId="27" applyAlignment="1" pivotButton="0" quotePrefix="0" xfId="0">
      <alignment horizontal="center" vertical="center" wrapText="1"/>
    </xf>
    <xf numFmtId="0" fontId="17" fillId="0" borderId="27" applyAlignment="1" pivotButton="0" quotePrefix="0" xfId="0">
      <alignment horizontal="center" vertical="center"/>
    </xf>
    <xf numFmtId="164" fontId="17" fillId="0" borderId="27" applyAlignment="1" pivotButton="0" quotePrefix="0" xfId="0">
      <alignment horizontal="center" vertical="center"/>
    </xf>
    <xf numFmtId="164" fontId="17" fillId="0" borderId="28" applyAlignment="1" pivotButton="0" quotePrefix="0" xfId="0">
      <alignment horizontal="right" vertical="center"/>
    </xf>
    <xf numFmtId="164" fontId="17" fillId="0" borderId="29" applyAlignment="1" pivotButton="0" quotePrefix="0" xfId="0">
      <alignment horizontal="right" vertical="center"/>
    </xf>
    <xf numFmtId="0" fontId="0" fillId="0" borderId="3" pivotButton="0" quotePrefix="0" xfId="0"/>
    <xf numFmtId="0" fontId="8" fillId="0" borderId="3" applyAlignment="1" pivotButton="0" quotePrefix="0" xfId="0">
      <alignment horizontal="center" vertical="center"/>
    </xf>
    <xf numFmtId="0" fontId="4" fillId="0" borderId="3" applyAlignment="1" pivotButton="0" quotePrefix="1" xfId="0">
      <alignment horizontal="right" vertical="center"/>
    </xf>
    <xf numFmtId="0" fontId="6" fillId="0" borderId="3" applyAlignment="1" pivotButton="0" quotePrefix="0" xfId="0">
      <alignment horizontal="center" vertical="center"/>
    </xf>
    <xf numFmtId="0" fontId="8" fillId="0" borderId="3" applyAlignment="1" pivotButton="0" quotePrefix="0" xfId="0">
      <alignment horizontal="right" vertical="center"/>
    </xf>
    <xf numFmtId="49" fontId="6" fillId="0" borderId="3" applyAlignment="1" pivotButton="0" quotePrefix="0" xfId="0">
      <alignment vertical="center" wrapText="1"/>
    </xf>
    <xf numFmtId="0" fontId="6" fillId="0" borderId="3" applyAlignment="1" pivotButton="0" quotePrefix="1" xfId="0">
      <alignment horizontal="right" vertical="center"/>
    </xf>
    <xf numFmtId="0" fontId="6" fillId="0" borderId="3" applyAlignment="1" pivotButton="0" quotePrefix="0" xfId="0">
      <alignment horizontal="right" vertical="center"/>
    </xf>
    <xf numFmtId="164" fontId="18" fillId="0" borderId="3" applyAlignment="1" pivotButton="0" quotePrefix="0" xfId="0">
      <alignment vertical="center" wrapText="1"/>
    </xf>
    <xf numFmtId="9" fontId="12" fillId="0" borderId="45" applyAlignment="1" pivotButton="0" quotePrefix="0" xfId="0">
      <alignment vertical="center" wrapText="1"/>
    </xf>
    <xf numFmtId="9" fontId="12" fillId="0" borderId="35" applyAlignment="1" pivotButton="0" quotePrefix="0" xfId="0">
      <alignment vertical="center" wrapText="1"/>
    </xf>
    <xf numFmtId="9" fontId="12" fillId="0" borderId="46" applyAlignment="1" pivotButton="0" quotePrefix="0" xfId="0">
      <alignment vertical="center" wrapText="1"/>
    </xf>
    <xf numFmtId="0" fontId="4" fillId="0" borderId="3" applyAlignment="1" pivotButton="0" quotePrefix="0" xfId="0">
      <alignment horizontal="center" vertical="center" wrapText="1"/>
    </xf>
    <xf numFmtId="164" fontId="4" fillId="3" borderId="3" applyAlignment="1" pivotButton="0" quotePrefix="0" xfId="0">
      <alignment vertical="center"/>
    </xf>
    <xf numFmtId="0" fontId="4" fillId="3" borderId="3" applyAlignment="1" pivotButton="0" quotePrefix="0" xfId="0">
      <alignment vertical="center" wrapText="1"/>
    </xf>
    <xf numFmtId="164" fontId="4" fillId="3" borderId="3" applyAlignment="1" pivotButton="0" quotePrefix="0" xfId="0">
      <alignment horizontal="right" vertical="center"/>
    </xf>
    <xf numFmtId="0" fontId="4" fillId="3" borderId="3" applyAlignment="1" pivotButton="0" quotePrefix="0" xfId="0">
      <alignment horizontal="right" vertical="center" wrapText="1"/>
    </xf>
    <xf numFmtId="0" fontId="4" fillId="3" borderId="3" applyAlignment="1" pivotButton="0" quotePrefix="0" xfId="0">
      <alignment horizontal="center" vertical="center"/>
    </xf>
    <xf numFmtId="0" fontId="4" fillId="3" borderId="3" applyAlignment="1" pivotButton="0" quotePrefix="0" xfId="0">
      <alignment vertical="center"/>
    </xf>
    <xf numFmtId="164" fontId="4" fillId="0" borderId="45" applyAlignment="1" pivotButton="0" quotePrefix="0" xfId="0">
      <alignment horizontal="right" vertical="center" wrapText="1"/>
    </xf>
    <xf numFmtId="164" fontId="4" fillId="0" borderId="35" applyAlignment="1" pivotButton="0" quotePrefix="0" xfId="0">
      <alignment horizontal="right" vertical="center" wrapText="1"/>
    </xf>
    <xf numFmtId="164" fontId="4" fillId="0" borderId="46" applyAlignment="1" pivotButton="0" quotePrefix="0" xfId="0">
      <alignment horizontal="right" vertical="center" wrapText="1"/>
    </xf>
    <xf numFmtId="0" fontId="4" fillId="0" borderId="35" applyAlignment="1" pivotButton="0" quotePrefix="0" xfId="0">
      <alignment horizontal="right" vertical="center"/>
    </xf>
    <xf numFmtId="0" fontId="4" fillId="0" borderId="27" applyAlignment="1" pivotButton="0" quotePrefix="0" xfId="0">
      <alignment horizontal="right" vertical="center"/>
    </xf>
    <xf numFmtId="0" fontId="0" fillId="0" borderId="9" pivotButton="0" quotePrefix="0" xfId="0"/>
    <xf numFmtId="0" fontId="4" fillId="0" borderId="19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9" applyAlignment="1" pivotButton="0" quotePrefix="0" xfId="0">
      <alignment vertical="center"/>
    </xf>
    <xf numFmtId="0" fontId="4" fillId="4" borderId="19" applyAlignment="1" pivotButton="0" quotePrefix="0" xfId="0">
      <alignment horizontal="center" vertical="center"/>
    </xf>
    <xf numFmtId="0" fontId="4" fillId="0" borderId="19" applyAlignment="1" pivotButton="0" quotePrefix="0" xfId="0">
      <alignment vertical="center"/>
    </xf>
    <xf numFmtId="164" fontId="4" fillId="4" borderId="19" applyAlignment="1" pivotButton="0" quotePrefix="0" xfId="0">
      <alignment vertical="center"/>
    </xf>
    <xf numFmtId="164" fontId="4" fillId="0" borderId="19" applyAlignment="1" pivotButton="0" quotePrefix="0" xfId="0">
      <alignment vertical="center"/>
    </xf>
    <xf numFmtId="165" fontId="4" fillId="0" borderId="8" applyAlignment="1" pivotButton="0" quotePrefix="0" xfId="0">
      <alignment horizontal="center" vertical="center" wrapText="1"/>
    </xf>
    <xf numFmtId="165" fontId="4" fillId="0" borderId="9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right" vertical="center"/>
    </xf>
    <xf numFmtId="164" fontId="4" fillId="4" borderId="19" applyAlignment="1" pivotButton="0" quotePrefix="0" xfId="0">
      <alignment horizontal="right" vertical="center"/>
    </xf>
    <xf numFmtId="0" fontId="4" fillId="0" borderId="18" applyAlignment="1" pivotButton="0" quotePrefix="0" xfId="0">
      <alignment vertical="center" wrapText="1"/>
    </xf>
    <xf numFmtId="0" fontId="4" fillId="0" borderId="19" applyAlignment="1" pivotButton="0" quotePrefix="0" xfId="0">
      <alignment vertical="center" wrapText="1"/>
    </xf>
    <xf numFmtId="0" fontId="0" fillId="0" borderId="19" pivotButton="0" quotePrefix="0" xfId="0"/>
    <xf numFmtId="0" fontId="4" fillId="4" borderId="19" applyAlignment="1" pivotButton="0" quotePrefix="0" xfId="0">
      <alignment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4" borderId="19" applyAlignment="1" pivotButton="0" quotePrefix="0" xfId="0">
      <alignment horizontal="right" vertical="center" wrapText="1"/>
    </xf>
    <xf numFmtId="0" fontId="6" fillId="0" borderId="9" applyAlignment="1" pivotButton="0" quotePrefix="0" xfId="0">
      <alignment horizontal="right" vertical="center"/>
    </xf>
    <xf numFmtId="0" fontId="4" fillId="4" borderId="19" applyAlignment="1" pivotButton="0" quotePrefix="0" xfId="0">
      <alignment vertical="center"/>
    </xf>
    <xf numFmtId="49" fontId="6" fillId="0" borderId="19" applyAlignment="1" pivotButton="0" quotePrefix="0" xfId="0">
      <alignment vertical="center" wrapText="1"/>
    </xf>
    <xf numFmtId="49" fontId="4" fillId="0" borderId="18" applyAlignment="1" pivotButton="0" quotePrefix="0" xfId="0">
      <alignment vertical="center" wrapText="1"/>
    </xf>
    <xf numFmtId="49" fontId="4" fillId="0" borderId="19" applyAlignment="1" pivotButton="0" quotePrefix="0" xfId="0">
      <alignment vertical="center" wrapText="1"/>
    </xf>
    <xf numFmtId="164" fontId="18" fillId="0" borderId="19" applyAlignment="1" pivotButton="0" quotePrefix="0" xfId="0">
      <alignment vertical="center" wrapText="1"/>
    </xf>
    <xf numFmtId="166" fontId="0" fillId="0" borderId="0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164" fontId="4" fillId="0" borderId="19" applyAlignment="1" pivotButton="0" quotePrefix="0" xfId="0">
      <alignment horizontal="right" vertical="center"/>
    </xf>
    <xf numFmtId="0" fontId="22" fillId="0" borderId="0" applyAlignment="1" pivotButton="0" quotePrefix="0" xfId="114">
      <alignment vertical="center"/>
    </xf>
    <xf numFmtId="0" fontId="22" fillId="0" borderId="0" applyAlignment="1" pivotButton="0" quotePrefix="0" xfId="114">
      <alignment vertical="center" wrapText="1"/>
    </xf>
    <xf numFmtId="0" fontId="22" fillId="0" borderId="0" applyAlignment="1" pivotButton="0" quotePrefix="0" xfId="114">
      <alignment horizontal="right" vertical="center"/>
    </xf>
    <xf numFmtId="9" fontId="22" fillId="0" borderId="0" applyAlignment="1" pivotButton="0" quotePrefix="0" xfId="114">
      <alignment vertical="center"/>
    </xf>
    <xf numFmtId="167" fontId="22" fillId="0" borderId="0" applyAlignment="1" pivotButton="0" quotePrefix="0" xfId="117">
      <alignment vertical="center"/>
    </xf>
    <xf numFmtId="167" fontId="22" fillId="0" borderId="0" applyAlignment="1" pivotButton="0" quotePrefix="0" xfId="117">
      <alignment vertical="center" wrapText="1"/>
    </xf>
    <xf numFmtId="0" fontId="24" fillId="0" borderId="0" applyAlignment="1" pivotButton="0" quotePrefix="0" xfId="0">
      <alignment vertical="center" wrapText="1"/>
    </xf>
    <xf numFmtId="168" fontId="22" fillId="0" borderId="0" applyAlignment="1" pivotButton="0" quotePrefix="0" xfId="115">
      <alignment vertical="center"/>
    </xf>
    <xf numFmtId="168" fontId="22" fillId="0" borderId="0" applyAlignment="1" pivotButton="0" quotePrefix="0" xfId="115">
      <alignment vertical="center"/>
    </xf>
    <xf numFmtId="0" fontId="22" fillId="0" borderId="0" applyAlignment="1" pivotButton="0" quotePrefix="0" xfId="114">
      <alignment horizontal="left" vertical="center" wrapText="1"/>
    </xf>
    <xf numFmtId="0" fontId="26" fillId="0" borderId="0" applyAlignment="1" pivotButton="0" quotePrefix="0" xfId="114">
      <alignment horizontal="left" vertical="center"/>
    </xf>
    <xf numFmtId="0" fontId="26" fillId="0" borderId="0" applyAlignment="1" pivotButton="0" quotePrefix="0" xfId="116">
      <alignment vertical="center" wrapText="1"/>
    </xf>
    <xf numFmtId="0" fontId="26" fillId="0" borderId="0" applyAlignment="1" pivotButton="0" quotePrefix="0" xfId="114">
      <alignment horizontal="right" vertical="center"/>
    </xf>
    <xf numFmtId="0" fontId="23" fillId="0" borderId="0" applyAlignment="1" pivotButton="0" quotePrefix="0" xfId="0">
      <alignment horizontal="left" vertical="center" wrapText="1"/>
    </xf>
    <xf numFmtId="164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7" fillId="5" borderId="52" applyAlignment="1" pivotButton="0" quotePrefix="0" xfId="0">
      <alignment horizontal="center" vertical="center" wrapText="1"/>
    </xf>
    <xf numFmtId="0" fontId="23" fillId="0" borderId="12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vertical="center" wrapText="1"/>
    </xf>
    <xf numFmtId="0" fontId="23" fillId="6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left" vertical="center" wrapText="1"/>
    </xf>
    <xf numFmtId="164" fontId="23" fillId="6" borderId="0" applyAlignment="1" pivotButton="0" quotePrefix="0" xfId="0">
      <alignment horizontal="center" vertical="center" wrapText="1"/>
    </xf>
    <xf numFmtId="0" fontId="29" fillId="0" borderId="0" applyAlignment="1" pivotButton="0" quotePrefix="0" xfId="114">
      <alignment vertical="center" wrapText="1"/>
    </xf>
    <xf numFmtId="0" fontId="30" fillId="0" borderId="0" applyAlignment="1" pivotButton="0" quotePrefix="0" xfId="114">
      <alignment vertical="center"/>
    </xf>
    <xf numFmtId="0" fontId="30" fillId="0" borderId="0" applyAlignment="1" pivotButton="0" quotePrefix="0" xfId="114">
      <alignment horizontal="right" vertical="center" wrapText="1"/>
    </xf>
    <xf numFmtId="169" fontId="30" fillId="0" borderId="0" applyAlignment="1" pivotButton="0" quotePrefix="0" xfId="114">
      <alignment horizontal="center" vertical="center" wrapText="1"/>
    </xf>
    <xf numFmtId="164" fontId="23" fillId="0" borderId="12" applyAlignment="1" pivotButton="0" quotePrefix="0" xfId="0">
      <alignment horizontal="center" vertical="center" wrapText="1"/>
    </xf>
    <xf numFmtId="164" fontId="23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114">
      <alignment horizontal="left" vertical="center" wrapText="1"/>
    </xf>
    <xf numFmtId="0" fontId="26" fillId="0" borderId="0" applyAlignment="1" pivotButton="0" quotePrefix="0" xfId="114">
      <alignment vertical="center"/>
    </xf>
    <xf numFmtId="0" fontId="23" fillId="6" borderId="53" applyAlignment="1" pivotButton="0" quotePrefix="0" xfId="0">
      <alignment horizontal="left" vertical="center" wrapText="1"/>
    </xf>
    <xf numFmtId="0" fontId="27" fillId="5" borderId="52" applyAlignment="1" pivotButton="0" quotePrefix="0" xfId="0">
      <alignment horizontal="center" vertical="center" wrapText="1"/>
    </xf>
    <xf numFmtId="0" fontId="23" fillId="0" borderId="12" applyAlignment="1" pivotButton="0" quotePrefix="0" xfId="0">
      <alignment horizontal="center" vertical="center" wrapText="1"/>
    </xf>
    <xf numFmtId="0" fontId="22" fillId="0" borderId="0" applyAlignment="1" pivotButton="0" quotePrefix="0" xfId="114">
      <alignment vertical="center"/>
    </xf>
    <xf numFmtId="0" fontId="25" fillId="0" borderId="0" applyAlignment="1" pivotButton="0" quotePrefix="0" xfId="114">
      <alignment horizontal="center" vertical="center"/>
    </xf>
    <xf numFmtId="0" fontId="22" fillId="0" borderId="0" applyAlignment="1" pivotButton="0" quotePrefix="0" xfId="114">
      <alignment horizontal="right" vertical="center"/>
    </xf>
    <xf numFmtId="0" fontId="22" fillId="0" borderId="0" applyAlignment="1" pivotButton="0" quotePrefix="0" xfId="0">
      <alignment horizontal="right" vertical="center"/>
    </xf>
    <xf numFmtId="0" fontId="31" fillId="0" borderId="0" applyAlignment="1" pivotButton="0" quotePrefix="0" xfId="118">
      <alignment vertical="center"/>
    </xf>
    <xf numFmtId="0" fontId="26" fillId="0" borderId="0" applyAlignment="1" pivotButton="0" quotePrefix="0" xfId="114">
      <alignment horizontal="left" vertical="center"/>
    </xf>
    <xf numFmtId="0" fontId="26" fillId="0" borderId="0" applyAlignment="1" pivotButton="0" quotePrefix="0" xfId="114">
      <alignment horizontal="center" vertical="center"/>
    </xf>
    <xf numFmtId="0" fontId="28" fillId="5" borderId="52" applyAlignment="1" pivotButton="0" quotePrefix="0" xfId="0">
      <alignment horizontal="center" vertical="center" wrapText="1"/>
    </xf>
    <xf numFmtId="164" fontId="23" fillId="6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wrapText="1"/>
    </xf>
    <xf numFmtId="0" fontId="11" fillId="0" borderId="16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4" fillId="0" borderId="2" applyAlignment="1" pivotButton="0" quotePrefix="0" xfId="0">
      <alignment horizontal="right" vertical="center"/>
    </xf>
    <xf numFmtId="164" fontId="4" fillId="0" borderId="8" applyAlignment="1" pivotButton="0" quotePrefix="0" xfId="0">
      <alignment horizontal="right" vertical="center"/>
    </xf>
    <xf numFmtId="164" fontId="4" fillId="0" borderId="9" applyAlignment="1" pivotButton="0" quotePrefix="0" xfId="0">
      <alignment horizontal="right" vertical="center"/>
    </xf>
    <xf numFmtId="165" fontId="4" fillId="0" borderId="5" applyAlignment="1" pivotButton="0" quotePrefix="0" xfId="1">
      <alignment horizontal="center" vertical="center"/>
    </xf>
    <xf numFmtId="165" fontId="4" fillId="0" borderId="6" applyAlignment="1" pivotButton="0" quotePrefix="0" xfId="1">
      <alignment horizontal="center" vertical="center"/>
    </xf>
    <xf numFmtId="165" fontId="4" fillId="0" borderId="7" applyAlignment="1" pivotButton="0" quotePrefix="0" xfId="1">
      <alignment horizontal="center" vertical="center"/>
    </xf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164" fontId="4" fillId="0" borderId="7" applyAlignment="1" pivotButton="0" quotePrefix="0" xfId="0">
      <alignment horizontal="center" vertical="center"/>
    </xf>
    <xf numFmtId="0" fontId="6" fillId="0" borderId="11" applyAlignment="1" pivotButton="0" quotePrefix="0" xfId="1">
      <alignment horizontal="right" vertical="center"/>
    </xf>
    <xf numFmtId="0" fontId="6" fillId="0" borderId="12" applyAlignment="1" pivotButton="0" quotePrefix="0" xfId="1">
      <alignment horizontal="right" vertical="center"/>
    </xf>
    <xf numFmtId="0" fontId="6" fillId="0" borderId="13" applyAlignment="1" pivotButton="0" quotePrefix="0" xfId="1">
      <alignment horizontal="right" vertical="center"/>
    </xf>
    <xf numFmtId="0" fontId="12" fillId="0" borderId="0" applyAlignment="1" pivotButton="0" quotePrefix="0" xfId="0">
      <alignment horizontal="left" vertical="center" wrapText="1"/>
    </xf>
    <xf numFmtId="0" fontId="12" fillId="0" borderId="17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2" fillId="0" borderId="17" applyAlignment="1" pivotButton="0" quotePrefix="0" xfId="0">
      <alignment horizontal="left" vertical="center"/>
    </xf>
    <xf numFmtId="164" fontId="4" fillId="0" borderId="2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164" fontId="4" fillId="0" borderId="3" applyAlignment="1" pivotButton="0" quotePrefix="0" xfId="0">
      <alignment horizontal="right" vertical="center"/>
    </xf>
    <xf numFmtId="164" fontId="4" fillId="0" borderId="3" applyAlignment="1" pivotButton="0" quotePrefix="0" xfId="0">
      <alignment horizontal="center" vertical="center"/>
    </xf>
    <xf numFmtId="0" fontId="18" fillId="0" borderId="42" applyAlignment="1" pivotButton="0" quotePrefix="0" xfId="0">
      <alignment horizontal="center" vertical="center"/>
    </xf>
    <xf numFmtId="0" fontId="18" fillId="0" borderId="43" applyAlignment="1" pivotButton="0" quotePrefix="0" xfId="0">
      <alignment horizontal="center" vertical="center"/>
    </xf>
    <xf numFmtId="0" fontId="18" fillId="0" borderId="44" applyAlignment="1" pivotButton="0" quotePrefix="0" xfId="0">
      <alignment horizontal="center" vertical="center"/>
    </xf>
    <xf numFmtId="0" fontId="4" fillId="0" borderId="2" applyAlignment="1" pivotButton="0" quotePrefix="0" xfId="1">
      <alignment horizontal="center" vertical="center"/>
    </xf>
    <xf numFmtId="0" fontId="4" fillId="0" borderId="9" applyAlignment="1" pivotButton="0" quotePrefix="0" xfId="1">
      <alignment horizontal="center" vertical="center"/>
    </xf>
    <xf numFmtId="165" fontId="4" fillId="0" borderId="3" applyAlignment="1" pivotButton="0" quotePrefix="0" xfId="1">
      <alignment horizontal="center" vertical="center" wrapText="1"/>
    </xf>
    <xf numFmtId="165" fontId="4" fillId="0" borderId="3" applyAlignment="1" pivotButton="0" quotePrefix="0" xfId="1">
      <alignment horizontal="center" vertical="center"/>
    </xf>
    <xf numFmtId="0" fontId="4" fillId="0" borderId="3" applyAlignment="1" pivotButton="0" quotePrefix="0" xfId="1">
      <alignment horizontal="center" vertical="center"/>
    </xf>
    <xf numFmtId="0" fontId="4" fillId="0" borderId="3" applyAlignment="1" pivotButton="0" quotePrefix="0" xfId="0">
      <alignment horizontal="center"/>
    </xf>
    <xf numFmtId="164" fontId="4" fillId="4" borderId="2" applyAlignment="1" pivotButton="0" quotePrefix="0" xfId="0">
      <alignment vertical="center"/>
    </xf>
    <xf numFmtId="164" fontId="4" fillId="4" borderId="8" applyAlignment="1" pivotButton="0" quotePrefix="0" xfId="0">
      <alignment vertical="center"/>
    </xf>
    <xf numFmtId="164" fontId="4" fillId="4" borderId="9" applyAlignment="1" pivotButton="0" quotePrefix="0" xfId="0">
      <alignment vertical="center"/>
    </xf>
    <xf numFmtId="0" fontId="4" fillId="4" borderId="2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4" fillId="0" borderId="2" applyAlignment="1" pivotButton="0" quotePrefix="0" xfId="0">
      <alignment horizontal="right" vertical="center"/>
    </xf>
    <xf numFmtId="0" fontId="4" fillId="0" borderId="8" applyAlignment="1" pivotButton="0" quotePrefix="0" xfId="0">
      <alignment horizontal="right" vertical="center"/>
    </xf>
    <xf numFmtId="0" fontId="4" fillId="0" borderId="9" applyAlignment="1" pivotButton="0" quotePrefix="0" xfId="0">
      <alignment horizontal="right" vertical="center"/>
    </xf>
    <xf numFmtId="0" fontId="4" fillId="0" borderId="47" applyAlignment="1" pivotButton="0" quotePrefix="0" xfId="0">
      <alignment horizontal="center" vertical="center"/>
    </xf>
    <xf numFmtId="0" fontId="4" fillId="0" borderId="42" applyAlignment="1" pivotButton="0" quotePrefix="0" xfId="0">
      <alignment horizontal="center"/>
    </xf>
    <xf numFmtId="0" fontId="4" fillId="0" borderId="44" applyAlignment="1" pivotButton="0" quotePrefix="0" xfId="0">
      <alignment horizontal="center"/>
    </xf>
    <xf numFmtId="164" fontId="4" fillId="4" borderId="2" applyAlignment="1" pivotButton="0" quotePrefix="0" xfId="0">
      <alignment horizontal="right" vertical="center"/>
    </xf>
    <xf numFmtId="164" fontId="4" fillId="4" borderId="8" applyAlignment="1" pivotButton="0" quotePrefix="0" xfId="0">
      <alignment horizontal="right" vertical="center"/>
    </xf>
    <xf numFmtId="164" fontId="4" fillId="4" borderId="9" applyAlignment="1" pivotButton="0" quotePrefix="0" xfId="0">
      <alignment horizontal="right" vertical="center"/>
    </xf>
    <xf numFmtId="0" fontId="6" fillId="0" borderId="2" applyAlignment="1" pivotButton="0" quotePrefix="0" xfId="0">
      <alignment horizontal="right" vertical="center"/>
    </xf>
    <xf numFmtId="0" fontId="6" fillId="0" borderId="8" applyAlignment="1" pivotButton="0" quotePrefix="0" xfId="0">
      <alignment horizontal="right" vertical="center"/>
    </xf>
    <xf numFmtId="0" fontId="6" fillId="0" borderId="9" applyAlignment="1" pivotButton="0" quotePrefix="0" xfId="0">
      <alignment horizontal="right" vertical="center"/>
    </xf>
    <xf numFmtId="0" fontId="18" fillId="0" borderId="48" applyAlignment="1" pivotButton="0" quotePrefix="0" xfId="0">
      <alignment horizontal="center" vertical="center"/>
    </xf>
    <xf numFmtId="164" fontId="4" fillId="0" borderId="47" applyAlignment="1" pivotButton="0" quotePrefix="0" xfId="0">
      <alignment horizontal="center" vertical="center"/>
    </xf>
    <xf numFmtId="164" fontId="4" fillId="0" borderId="2" applyAlignment="1" pivotButton="0" quotePrefix="0" xfId="0">
      <alignment vertical="center"/>
    </xf>
    <xf numFmtId="164" fontId="4" fillId="0" borderId="8" applyAlignment="1" pivotButton="0" quotePrefix="0" xfId="0">
      <alignment vertical="center"/>
    </xf>
    <xf numFmtId="164" fontId="4" fillId="0" borderId="47" applyAlignment="1" pivotButton="0" quotePrefix="0" xfId="0">
      <alignment vertical="center"/>
    </xf>
    <xf numFmtId="0" fontId="14" fillId="0" borderId="36" applyAlignment="1" pivotButton="0" quotePrefix="0" xfId="0">
      <alignment horizontal="right" vertical="center"/>
    </xf>
    <xf numFmtId="0" fontId="14" fillId="0" borderId="37" applyAlignment="1" pivotButton="0" quotePrefix="0" xfId="0">
      <alignment horizontal="right" vertical="center"/>
    </xf>
    <xf numFmtId="0" fontId="14" fillId="0" borderId="38" applyAlignment="1" pivotButton="0" quotePrefix="0" xfId="0">
      <alignment horizontal="right" vertical="center"/>
    </xf>
    <xf numFmtId="0" fontId="14" fillId="0" borderId="39" applyAlignment="1" pivotButton="0" quotePrefix="0" xfId="0">
      <alignment horizontal="center" vertical="center" wrapText="1"/>
    </xf>
    <xf numFmtId="0" fontId="14" fillId="0" borderId="40" applyAlignment="1" pivotButton="0" quotePrefix="0" xfId="0">
      <alignment horizontal="center" vertical="center" wrapText="1"/>
    </xf>
    <xf numFmtId="0" fontId="14" fillId="0" borderId="35" applyAlignment="1" pivotButton="0" quotePrefix="0" xfId="0">
      <alignment horizontal="center" vertical="center" wrapText="1"/>
    </xf>
    <xf numFmtId="0" fontId="13" fillId="0" borderId="23" applyAlignment="1" pivotButton="0" quotePrefix="0" xfId="0">
      <alignment horizontal="justify" vertical="center" wrapText="1"/>
    </xf>
    <xf numFmtId="0" fontId="13" fillId="0" borderId="24" applyAlignment="1" pivotButton="0" quotePrefix="0" xfId="0">
      <alignment horizontal="justify" vertical="center" wrapText="1"/>
    </xf>
    <xf numFmtId="0" fontId="13" fillId="0" borderId="25" applyAlignment="1" pivotButton="0" quotePrefix="0" xfId="0">
      <alignment horizontal="justify" vertical="center" wrapText="1"/>
    </xf>
    <xf numFmtId="0" fontId="14" fillId="2" borderId="41" applyAlignment="1" pivotButton="0" quotePrefix="0" xfId="0">
      <alignment horizontal="center" vertical="center" wrapText="1"/>
    </xf>
    <xf numFmtId="0" fontId="14" fillId="2" borderId="26" applyAlignment="1" pivotButton="0" quotePrefix="0" xfId="0">
      <alignment horizontal="center" vertical="center" wrapText="1"/>
    </xf>
    <xf numFmtId="0" fontId="15" fillId="2" borderId="11" applyAlignment="1" pivotButton="0" quotePrefix="0" xfId="0">
      <alignment horizontal="center" vertical="center" wrapText="1"/>
    </xf>
    <xf numFmtId="0" fontId="15" fillId="2" borderId="27" applyAlignment="1" pivotButton="0" quotePrefix="0" xfId="0">
      <alignment horizontal="center" vertical="center" wrapText="1"/>
    </xf>
    <xf numFmtId="0" fontId="14" fillId="0" borderId="41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5" fillId="0" borderId="11" applyAlignment="1" pivotButton="0" quotePrefix="0" xfId="0">
      <alignment horizontal="center" vertical="center"/>
    </xf>
    <xf numFmtId="0" fontId="15" fillId="0" borderId="27" applyAlignment="1" pivotButton="0" quotePrefix="0" xfId="0">
      <alignment horizontal="center" vertical="center"/>
    </xf>
    <xf numFmtId="0" fontId="14" fillId="0" borderId="30" applyAlignment="1" pivotButton="0" quotePrefix="0" xfId="0">
      <alignment horizontal="right" vertical="center" wrapText="1"/>
    </xf>
    <xf numFmtId="0" fontId="14" fillId="0" borderId="31" applyAlignment="1" pivotButton="0" quotePrefix="0" xfId="0">
      <alignment horizontal="right" vertical="center" wrapText="1"/>
    </xf>
    <xf numFmtId="0" fontId="14" fillId="0" borderId="32" applyAlignment="1" pivotButton="0" quotePrefix="0" xfId="0">
      <alignment horizontal="right" vertical="center" wrapText="1"/>
    </xf>
    <xf numFmtId="0" fontId="16" fillId="0" borderId="33" applyAlignment="1" pivotButton="0" quotePrefix="0" xfId="0">
      <alignment horizontal="justify" vertical="center" wrapText="1"/>
    </xf>
    <xf numFmtId="0" fontId="16" fillId="0" borderId="24" applyAlignment="1" pivotButton="0" quotePrefix="0" xfId="0">
      <alignment horizontal="justify" vertical="center" wrapText="1"/>
    </xf>
    <xf numFmtId="0" fontId="16" fillId="0" borderId="25" applyAlignment="1" pivotButton="0" quotePrefix="0" xfId="0">
      <alignment horizontal="justify" vertical="center" wrapText="1"/>
    </xf>
    <xf numFmtId="0" fontId="14" fillId="0" borderId="34" applyAlignment="1" pivotButton="0" quotePrefix="0" xfId="0">
      <alignment horizontal="center" vertical="center"/>
    </xf>
    <xf numFmtId="0" fontId="14" fillId="0" borderId="35" applyAlignment="1" pivotButton="0" quotePrefix="0" xfId="0">
      <alignment horizontal="center" vertical="center"/>
    </xf>
    <xf numFmtId="0" fontId="14" fillId="2" borderId="34" applyAlignment="1" pivotButton="0" quotePrefix="0" xfId="0">
      <alignment horizontal="center" vertical="center" wrapText="1"/>
    </xf>
    <xf numFmtId="0" fontId="14" fillId="2" borderId="35" applyAlignment="1" pivotButton="0" quotePrefix="0" xfId="0">
      <alignment horizontal="center" vertical="center" wrapText="1"/>
    </xf>
    <xf numFmtId="0" fontId="0" fillId="0" borderId="52" pivotButton="0" quotePrefix="0" xfId="0"/>
    <xf numFmtId="0" fontId="0" fillId="0" borderId="53" pivotButton="0" quotePrefix="0" xfId="0"/>
    <xf numFmtId="164" fontId="23" fillId="6" borderId="0" applyAlignment="1" pivotButton="0" quotePrefix="0" xfId="0">
      <alignment horizontal="center" vertical="center" wrapText="1"/>
    </xf>
    <xf numFmtId="167" fontId="22" fillId="0" borderId="0" applyAlignment="1" pivotButton="0" quotePrefix="0" xfId="117">
      <alignment vertical="center"/>
    </xf>
    <xf numFmtId="164" fontId="23" fillId="0" borderId="0" applyAlignment="1" pivotButton="0" quotePrefix="0" xfId="0">
      <alignment horizontal="center" vertical="center" wrapText="1"/>
    </xf>
    <xf numFmtId="167" fontId="22" fillId="0" borderId="0" applyAlignment="1" pivotButton="0" quotePrefix="0" xfId="117">
      <alignment vertical="center" wrapText="1"/>
    </xf>
    <xf numFmtId="0" fontId="0" fillId="0" borderId="12" pivotButton="0" quotePrefix="0" xfId="0"/>
    <xf numFmtId="164" fontId="23" fillId="0" borderId="12" applyAlignment="1" pivotButton="0" quotePrefix="0" xfId="0">
      <alignment horizontal="center" vertical="center" wrapText="1"/>
    </xf>
    <xf numFmtId="168" fontId="22" fillId="0" borderId="0" applyAlignment="1" pivotButton="0" quotePrefix="0" xfId="115">
      <alignment vertical="center"/>
    </xf>
    <xf numFmtId="169" fontId="30" fillId="0" borderId="0" applyAlignment="1" pivotButton="0" quotePrefix="0" xfId="114">
      <alignment horizontal="center" vertical="center" wrapText="1"/>
    </xf>
  </cellXfs>
  <cellStyles count="15">
    <cellStyle name="一般" xfId="0" builtinId="0"/>
    <cellStyle name="一般_飛資得系統科技_德霖技術學院Aleph報價單990910" xfId="1"/>
    <cellStyle name="0,0_x000d__x000d_NA_x000d__x000d_" xfId="2"/>
    <cellStyle name="一般 2" xfId="3"/>
    <cellStyle name="已瀏覽過的超連結" xfId="4" builtinId="9" hidden="1"/>
    <cellStyle name="超連結" xfId="5" builtinId="8" hidden="1"/>
    <cellStyle name="一般 3" xfId="6"/>
    <cellStyle name="一般 4" xfId="7"/>
    <cellStyle name="貨幣 2" xfId="8"/>
    <cellStyle name="百分比 2" xfId="9"/>
    <cellStyle name="一般 5" xfId="10"/>
    <cellStyle name="一般 6" xfId="11"/>
    <cellStyle name="千分位[0] 2" xfId="12"/>
    <cellStyle name="一般_飛資得系統科技_德霖技術學院Aleph報價單990910 2" xfId="13"/>
    <cellStyle name="貨幣" xfId="14" builtinId="4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emilychen@flysheet.com.tw" TargetMode="Externa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 fitToPage="1"/>
  </sheetPr>
  <dimension ref="A1:S31"/>
  <sheetViews>
    <sheetView tabSelected="1" view="pageBreakPreview" zoomScale="125" zoomScaleNormal="85" zoomScaleSheetLayoutView="85" workbookViewId="0">
      <selection activeCell="B24" sqref="B24"/>
    </sheetView>
  </sheetViews>
  <sheetFormatPr baseColWidth="10" defaultColWidth="8.83203125" defaultRowHeight="18"/>
  <cols>
    <col width="10.33203125" customWidth="1" style="125" min="1" max="1"/>
    <col width="43.6640625" customWidth="1" style="92" min="2" max="2"/>
    <col width="14.83203125" customWidth="1" style="92" min="3" max="3"/>
    <col width="8" customWidth="1" style="92" min="4" max="4"/>
    <col width="9.33203125" customWidth="1" style="125" min="5" max="5"/>
    <col width="5.5" customWidth="1" style="125" min="6" max="6"/>
    <col width="17.1640625" customWidth="1" style="125" min="7" max="7"/>
    <col width="8.83203125" customWidth="1" style="125" min="8" max="8"/>
    <col width="6.1640625" bestFit="1" customWidth="1" style="125" min="9" max="9"/>
    <col width="16" customWidth="1" style="125" min="10" max="10"/>
    <col width="20.6640625" customWidth="1" style="125" min="11" max="11"/>
    <col width="14.6640625" customWidth="1" style="125" min="12" max="12"/>
    <col width="17.6640625" customWidth="1" style="125" min="13" max="13"/>
    <col width="15.33203125" bestFit="1" customWidth="1" style="125" min="14" max="14"/>
    <col width="12.1640625" customWidth="1" style="125" min="15" max="15"/>
    <col width="9.1640625" bestFit="1" customWidth="1" style="125" min="16" max="16"/>
    <col width="9.33203125" bestFit="1" customWidth="1" style="125" min="17" max="17"/>
    <col width="9.1640625" bestFit="1" customWidth="1" style="125" min="18" max="18"/>
    <col width="8" customWidth="1" style="125" min="19" max="19"/>
    <col width="13.1640625" customWidth="1" style="125" min="20" max="20"/>
    <col width="8.83203125" customWidth="1" style="125" min="21" max="16384"/>
  </cols>
  <sheetData>
    <row r="1" ht="48" customHeight="1"/>
    <row r="2" ht="52.5" customHeight="1">
      <c r="H2" s="92" t="n"/>
      <c r="I2" s="92" t="n"/>
      <c r="J2" s="92" t="n"/>
    </row>
    <row r="3" ht="14" customHeight="1">
      <c r="H3" s="92" t="n"/>
      <c r="I3" s="92" t="n"/>
      <c r="J3" s="92" t="n"/>
    </row>
    <row r="4" ht="23" customHeight="1">
      <c r="A4" s="126" t="inlineStr">
        <is>
          <t>********** 估    價    單 **********</t>
        </is>
      </c>
      <c r="H4" s="92" t="n"/>
      <c r="I4" s="92" t="n"/>
      <c r="J4" s="92" t="n"/>
    </row>
    <row r="5" ht="21" customHeight="1">
      <c r="A5" s="130" t="inlineStr">
        <is>
          <t>致       ：</t>
        </is>
      </c>
      <c r="B5" s="102" t="inlineStr">
        <is>
          <t>{{CLIENT_NAME}}</t>
        </is>
      </c>
      <c r="C5" s="102" t="n"/>
      <c r="D5" s="102" t="n"/>
      <c r="E5" s="103" t="inlineStr">
        <is>
          <t>TEL：</t>
        </is>
      </c>
      <c r="F5" s="130" t="inlineStr">
        <is>
          <t>{{CLIENT_TEL}}</t>
        </is>
      </c>
      <c r="H5" s="92" t="n"/>
      <c r="I5" s="92" t="n"/>
      <c r="J5" s="92" t="n"/>
    </row>
    <row r="6" ht="21" customHeight="1">
      <c r="A6" s="130" t="inlineStr">
        <is>
          <t>聯絡人：</t>
        </is>
      </c>
      <c r="B6" s="102" t="inlineStr">
        <is>
          <t>{{CONTACT}}</t>
        </is>
      </c>
      <c r="C6" s="102" t="n"/>
      <c r="D6" s="102" t="n"/>
      <c r="E6" s="103" t="inlineStr">
        <is>
          <t>FAX：</t>
        </is>
      </c>
      <c r="F6" s="130" t="n"/>
      <c r="H6" s="92" t="n"/>
      <c r="I6" s="92" t="n"/>
    </row>
    <row r="7" ht="21" customHeight="1">
      <c r="A7" s="130" t="inlineStr">
        <is>
          <t>估價編號：</t>
        </is>
      </c>
      <c r="B7" s="120" t="inlineStr">
        <is>
          <t>{{QUOTE_NO}}</t>
        </is>
      </c>
      <c r="E7" s="103" t="n"/>
      <c r="H7" s="92" t="n"/>
      <c r="I7" s="92" t="n"/>
    </row>
    <row r="8" ht="21" customHeight="1">
      <c r="A8" s="130" t="inlineStr">
        <is>
          <t>估價日期：</t>
        </is>
      </c>
      <c r="B8" s="121" t="inlineStr">
        <is>
          <t>{{QUOTE_DATE}}</t>
        </is>
      </c>
      <c r="E8" s="103" t="n"/>
      <c r="F8" s="130" t="n"/>
      <c r="H8" s="92" t="n"/>
      <c r="I8" s="92" t="n"/>
    </row>
    <row r="9" ht="21" customHeight="1">
      <c r="A9" s="130" t="inlineStr">
        <is>
          <t>有效日期：</t>
        </is>
      </c>
      <c r="B9" s="121" t="inlineStr">
        <is>
          <t>{{VALID_DATE}}</t>
        </is>
      </c>
      <c r="E9" s="103" t="n"/>
      <c r="F9" s="131" t="n"/>
      <c r="H9" s="92" t="n"/>
      <c r="I9" s="92" t="n"/>
    </row>
    <row r="10" ht="21" customHeight="1">
      <c r="A10" s="130" t="inlineStr">
        <is>
          <t>承辦業務：</t>
        </is>
      </c>
      <c r="B10" s="121" t="inlineStr">
        <is>
          <t>陳品伃</t>
        </is>
      </c>
      <c r="E10" s="103" t="inlineStr">
        <is>
          <t>TEL：</t>
        </is>
      </c>
      <c r="F10" s="130" t="inlineStr">
        <is>
          <t>02-26582223#113</t>
        </is>
      </c>
      <c r="H10" s="92" t="n"/>
      <c r="I10" s="92" t="n"/>
    </row>
    <row r="11" ht="21" customHeight="1" thickBot="1">
      <c r="A11" s="130" t="inlineStr">
        <is>
          <t>E-Mail   ：</t>
        </is>
      </c>
      <c r="B11" s="129" t="inlineStr">
        <is>
          <t>emilychen@flysheet.com.tw</t>
        </is>
      </c>
      <c r="E11" s="103" t="inlineStr">
        <is>
          <t>FAX：</t>
        </is>
      </c>
      <c r="F11" s="130" t="n"/>
      <c r="H11" s="92" t="n"/>
      <c r="I11" s="92" t="n"/>
    </row>
    <row r="12" ht="20" customHeight="1">
      <c r="A12" s="123" t="inlineStr">
        <is>
          <t>項次</t>
        </is>
      </c>
      <c r="B12" s="123" t="inlineStr">
        <is>
          <t>品名</t>
        </is>
      </c>
      <c r="C12" s="223" t="n"/>
      <c r="D12" s="123" t="inlineStr">
        <is>
          <t>數量</t>
        </is>
      </c>
      <c r="E12" s="123" t="inlineStr">
        <is>
          <t>單位</t>
        </is>
      </c>
      <c r="F12" s="132" t="inlineStr">
        <is>
          <t>總價</t>
        </is>
      </c>
      <c r="G12" s="223" t="n"/>
      <c r="J12" s="125" t="n"/>
      <c r="L12" s="94" t="n"/>
      <c r="M12" s="94" t="n"/>
    </row>
    <row r="13">
      <c r="A13" s="111" t="n">
        <v>1</v>
      </c>
      <c r="B13" s="122" t="inlineStr">
        <is>
          <t>{{PRODUCT}}</t>
        </is>
      </c>
      <c r="C13" s="224" t="n"/>
      <c r="D13" s="112" t="n"/>
      <c r="E13" s="225" t="n"/>
      <c r="F13" s="225" t="n">
        <v>999999901</v>
      </c>
      <c r="K13" s="226" t="n"/>
      <c r="L13" s="226" t="n"/>
      <c r="M13" s="226" t="n"/>
      <c r="N13" s="226" t="n"/>
    </row>
    <row r="14" ht="43" customFormat="1" customHeight="1" s="92">
      <c r="A14" s="106" t="n"/>
      <c r="B14" s="134" t="inlineStr">
        <is>
          <t>訂期：{{PERIOD}}</t>
        </is>
      </c>
      <c r="D14" s="134" t="n"/>
      <c r="E14" s="227" t="n"/>
      <c r="F14" s="227" t="n"/>
      <c r="K14" s="228" t="n"/>
      <c r="L14" s="228" t="n"/>
      <c r="M14" s="228" t="n"/>
      <c r="N14" s="228" t="n"/>
    </row>
    <row r="15" ht="21" customFormat="1" customHeight="1" s="92">
      <c r="A15" s="106" t="n"/>
      <c r="B15" s="134" t="n"/>
      <c r="D15" s="134" t="n"/>
      <c r="E15" s="227" t="n"/>
      <c r="F15" s="227" t="n"/>
      <c r="K15" s="228" t="n"/>
      <c r="L15" s="228" t="n"/>
      <c r="M15" s="228" t="n"/>
      <c r="N15" s="228" t="n"/>
    </row>
    <row r="16" ht="21" customFormat="1" customHeight="1" s="92">
      <c r="A16" s="106" t="n"/>
      <c r="B16" s="134" t="n"/>
      <c r="D16" s="134" t="n"/>
      <c r="E16" s="227" t="n"/>
      <c r="F16" s="227" t="n"/>
      <c r="K16" s="228" t="n"/>
      <c r="L16" s="228" t="n"/>
      <c r="M16" s="228" t="n"/>
      <c r="N16" s="228" t="n"/>
    </row>
    <row r="17" ht="25" customHeight="1" thickBot="1">
      <c r="A17" s="108" t="n"/>
      <c r="B17" s="124" t="n"/>
      <c r="C17" s="229" t="n"/>
      <c r="D17" s="124" t="n"/>
      <c r="E17" s="110" t="n"/>
      <c r="F17" s="230" t="n"/>
      <c r="G17" s="229" t="n"/>
      <c r="H17" s="97" t="n"/>
      <c r="K17" s="231" t="n"/>
      <c r="L17" s="231" t="n"/>
      <c r="M17" s="231" t="n"/>
      <c r="N17" s="231" t="n"/>
      <c r="O17" s="231" t="n"/>
      <c r="P17" s="231" t="n"/>
      <c r="Q17" s="231" t="n"/>
      <c r="R17" s="231" t="n"/>
      <c r="S17" s="231" t="n"/>
    </row>
    <row r="18" ht="24" customHeight="1">
      <c r="A18" s="127" t="inlineStr">
        <is>
          <t>總價(含稅)：</t>
        </is>
      </c>
      <c r="F18" s="227">
        <f>SUM(F13:G17)</f>
        <v/>
      </c>
    </row>
    <row r="19"/>
    <row r="20" ht="19" customHeight="1">
      <c r="B20" s="116" t="inlineStr">
        <is>
          <t>總金額： 新台幣</t>
        </is>
      </c>
      <c r="C20" s="232">
        <f>F18</f>
        <v/>
      </c>
      <c r="D20" s="115" t="inlineStr">
        <is>
          <t>元整</t>
        </is>
      </c>
    </row>
    <row r="21">
      <c r="B21" s="114" t="n"/>
      <c r="C21" s="114" t="n"/>
    </row>
    <row r="22">
      <c r="A22" s="127" t="inlineStr">
        <is>
          <t>備註：</t>
        </is>
      </c>
    </row>
    <row r="23" ht="19" customHeight="1">
      <c r="A23" s="125" t="n">
        <v>1</v>
      </c>
      <c r="B23" s="100" t="inlineStr">
        <is>
          <t>{{NOTE1}}</t>
        </is>
      </c>
      <c r="C23" s="100" t="n"/>
      <c r="D23" s="100" t="n"/>
    </row>
    <row r="24" ht="19" customHeight="1">
      <c r="A24" s="125" t="n">
        <v>2</v>
      </c>
      <c r="B24" s="100" t="inlineStr">
        <is>
          <t>{{NOTE2}}</t>
        </is>
      </c>
      <c r="C24" s="100" t="n"/>
      <c r="D24" s="100" t="n"/>
    </row>
    <row r="25">
      <c r="A25" t="n">
        <v>3</v>
      </c>
      <c r="B25" s="100" t="inlineStr">
        <is>
          <t>{{NOTE3}}</t>
        </is>
      </c>
      <c r="C25" s="100" t="n"/>
      <c r="D25" s="100" t="n"/>
    </row>
    <row r="26">
      <c r="A26" t="n">
        <v>4</v>
      </c>
      <c r="B26" s="125" t="inlineStr">
        <is>
          <t>{{NOTE4}}</t>
        </is>
      </c>
      <c r="C26" s="125" t="n"/>
      <c r="D26" s="100" t="n"/>
    </row>
    <row r="27">
      <c r="B27" s="100" t="n"/>
      <c r="C27" s="100" t="n"/>
      <c r="D27" s="100" t="n"/>
    </row>
    <row r="28" customFormat="1" s="231">
      <c r="A28" s="125" t="n"/>
      <c r="B28" s="92" t="n"/>
      <c r="C28" s="92" t="n"/>
      <c r="D28" s="92" t="n"/>
      <c r="E28" s="125" t="n"/>
      <c r="H28" s="125" t="n"/>
      <c r="I28" s="125" t="n"/>
      <c r="J28" s="125" t="n"/>
      <c r="K28" s="125" t="n"/>
      <c r="L28" s="125" t="n"/>
      <c r="M28" s="125" t="n"/>
      <c r="N28" s="125" t="n"/>
    </row>
    <row r="29" customFormat="1" s="231">
      <c r="A29" s="125" t="n"/>
      <c r="B29" s="92" t="n"/>
      <c r="C29" s="92" t="n"/>
      <c r="D29" s="92" t="n"/>
      <c r="E29" s="125" t="n"/>
      <c r="H29" s="125" t="n"/>
      <c r="I29" s="125" t="n"/>
      <c r="J29" s="125" t="n"/>
      <c r="K29" s="125" t="n"/>
      <c r="L29" s="125" t="n"/>
      <c r="M29" s="125" t="n"/>
      <c r="N29" s="125" t="n"/>
    </row>
    <row r="30" customFormat="1" s="231">
      <c r="A30" s="125" t="n"/>
      <c r="B30" s="92" t="n"/>
      <c r="C30" s="92" t="n"/>
      <c r="D30" s="92" t="n"/>
      <c r="E30" s="125" t="n"/>
      <c r="H30" s="125" t="n"/>
      <c r="I30" s="125" t="n"/>
      <c r="J30" s="125" t="n"/>
      <c r="K30" s="125" t="n"/>
      <c r="L30" s="125" t="n"/>
      <c r="M30" s="125" t="n"/>
      <c r="N30" s="125" t="n"/>
    </row>
    <row r="31" customFormat="1" s="231">
      <c r="A31" s="125" t="n"/>
      <c r="B31" s="92" t="n"/>
      <c r="C31" s="92" t="n"/>
      <c r="D31" s="92" t="n"/>
      <c r="E31" s="125" t="n"/>
      <c r="F31" s="125" t="n"/>
      <c r="G31" s="125" t="n"/>
      <c r="H31" s="125" t="n"/>
      <c r="I31" s="125" t="n"/>
      <c r="J31" s="125" t="n"/>
      <c r="K31" s="125" t="n"/>
      <c r="L31" s="125" t="n"/>
      <c r="M31" s="125" t="n"/>
      <c r="N31" s="125" t="n"/>
    </row>
  </sheetData>
  <mergeCells count="29">
    <mergeCell ref="B11:D11"/>
    <mergeCell ref="E28:G28"/>
    <mergeCell ref="F11:G11"/>
    <mergeCell ref="B16:C16"/>
    <mergeCell ref="F10:G10"/>
    <mergeCell ref="F16:G16"/>
    <mergeCell ref="B8:D8"/>
    <mergeCell ref="A4:G4"/>
    <mergeCell ref="F6:G6"/>
    <mergeCell ref="E30:G30"/>
    <mergeCell ref="B12:C12"/>
    <mergeCell ref="B10:D10"/>
    <mergeCell ref="F12:G12"/>
    <mergeCell ref="F15:G15"/>
    <mergeCell ref="F5:G5"/>
    <mergeCell ref="F18:G18"/>
    <mergeCell ref="B9:D9"/>
    <mergeCell ref="B14:C14"/>
    <mergeCell ref="B17:C17"/>
    <mergeCell ref="F17:G17"/>
    <mergeCell ref="A18:E18"/>
    <mergeCell ref="F8:G8"/>
    <mergeCell ref="B13:C13"/>
    <mergeCell ref="F13:G13"/>
    <mergeCell ref="B7:D7"/>
    <mergeCell ref="F9:G9"/>
    <mergeCell ref="B15:C15"/>
    <mergeCell ref="F14:G14"/>
    <mergeCell ref="E29:G29"/>
  </mergeCells>
  <hyperlinks>
    <hyperlink xmlns:r="http://schemas.openxmlformats.org/officeDocument/2006/relationships" ref="B11" r:id="rId1"/>
  </hyperlinks>
  <printOptions horizontalCentered="1"/>
  <pageMargins left="0.3543307086614174" right="0.3149606299212598" top="0.6692913385826772" bottom="0.3543307086614174" header="0.1968503937007874" footer="0.1574803149606299"/>
  <pageSetup orientation="portrait" paperSize="9" scale="83" fitToHeight="0"/>
  <headerFooter alignWithMargins="0">
    <oddHeader>&amp;C_x000a__x000a__x000a__x000a__x000a__x000a__x000a__x000a__x000a__x000a__x000a__x000a__x000a__x000a__x000a__x000a__x000a__x000a__x000a__x000a__x000a__x000a__x000a__x000a__x000a__x000a_&amp;G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 Yen Chih</dc:creator>
  <dcterms:created xsi:type="dcterms:W3CDTF">2015-11-09T08:56:18Z</dcterms:created>
  <dcterms:modified xsi:type="dcterms:W3CDTF">2026-08-09T09:43:29Z</dcterms:modified>
  <cp:lastModifiedBy>品伃 陳</cp:lastModifiedBy>
  <cp:lastPrinted>2026-08-07T00:45:23Z</cp:lastPrinted>
</cp:coreProperties>
</file>